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Applications" sheetId="2" state="visible" r:id="rId2"/>
    <sheet xmlns:r="http://schemas.openxmlformats.org/officeDocument/2006/relationships" name="Target companies" sheetId="3" state="visible" r:id="rId3"/>
    <sheet xmlns:r="http://schemas.openxmlformats.org/officeDocument/2006/relationships" name="Networking" sheetId="4" state="visible" r:id="rId4"/>
    <sheet xmlns:r="http://schemas.openxmlformats.org/officeDocument/2006/relationships" name="Lists" sheetId="5" state="visible" r:id="rId5"/>
  </sheets>
  <definedNames>
    <definedName name="SourceList">Lists!$A$2:$A$11</definedName>
    <definedName name="StatusList">Lists!$B$2:$B$10</definedName>
    <definedName name="YesNoList">Lists!$C$2:$C$3</definedName>
    <definedName name="SeniorityList">Lists!$D$2:$D$3</definedName>
    <definedName name="StageList">Lists!$E$2:$E$9</definedName>
    <definedName name="_xlnm._FilterDatabase" localSheetId="1" hidden="1">'Applications'!$A$8:$K$508</definedName>
    <definedName name="_xlnm._FilterDatabase" localSheetId="3" hidden="1">'Networking'!$A$7:$K$207</definedName>
  </definedNames>
  <calcPr calcId="124519" fullCalcOnLoad="1"/>
</workbook>
</file>

<file path=xl/styles.xml><?xml version="1.0" encoding="utf-8"?>
<styleSheet xmlns="http://schemas.openxmlformats.org/spreadsheetml/2006/main">
  <numFmts count="1">
    <numFmt numFmtId="164" formatCode="dd mmm yyyy"/>
  </numFmts>
  <fonts count="18">
    <font>
      <name val="Calibri"/>
      <family val="2"/>
      <color theme="1"/>
      <sz val="11"/>
      <scheme val="minor"/>
    </font>
    <font>
      <name val="Calibri"/>
      <b val="1"/>
      <color rgb="00FFFFFF"/>
      <sz val="10"/>
    </font>
    <font>
      <name val="Calibri"/>
      <color rgb="001F2933"/>
      <sz val="10"/>
    </font>
    <font>
      <name val="Calibri"/>
      <b val="1"/>
      <color rgb="001B2A4A"/>
      <sz val="10"/>
    </font>
    <font>
      <name val="Calibri"/>
      <color rgb="006B7280"/>
      <sz val="10"/>
    </font>
    <font>
      <name val="Calibri"/>
      <b val="1"/>
      <color rgb="00FFFFFF"/>
      <sz val="15"/>
    </font>
    <font>
      <name val="Calibri"/>
      <color rgb="00C9D3E4"/>
      <sz val="10"/>
    </font>
    <font>
      <name val="Calibri"/>
      <b val="1"/>
      <color rgb="006B7280"/>
      <sz val="8"/>
    </font>
    <font>
      <name val="Calibri"/>
      <b val="1"/>
      <color rgb="001B2A4A"/>
      <sz val="22"/>
    </font>
    <font>
      <name val="Calibri"/>
      <color rgb="006B7280"/>
      <sz val="9"/>
    </font>
    <font>
      <name val="Calibri"/>
      <color rgb="005A6473"/>
      <sz val="9"/>
    </font>
    <font>
      <name val="Calibri"/>
      <b val="1"/>
      <color rgb="00C9D3E4"/>
      <sz val="10"/>
    </font>
    <font>
      <name val="Calibri"/>
      <color rgb="003A5580"/>
      <sz val="10"/>
    </font>
    <font>
      <name val="Calibri"/>
      <color rgb="003A5580"/>
      <sz val="11"/>
    </font>
    <font>
      <name val="Calibri"/>
      <b val="1"/>
      <color rgb="00FFFFFF"/>
      <sz val="16"/>
    </font>
    <font>
      <name val="Calibri"/>
      <color rgb="001F2933"/>
      <sz val="11"/>
    </font>
    <font>
      <name val="Calibri"/>
      <b val="1"/>
      <color rgb="001B2A4A"/>
      <sz val="12"/>
    </font>
    <font>
      <name val="Calibri"/>
      <b val="1"/>
      <color rgb="003A5580"/>
      <sz val="10"/>
    </font>
  </fonts>
  <fills count="5">
    <fill>
      <patternFill/>
    </fill>
    <fill>
      <patternFill patternType="gray125"/>
    </fill>
    <fill>
      <patternFill patternType="solid">
        <fgColor rgb="001B2A4A"/>
      </patternFill>
    </fill>
    <fill>
      <patternFill patternType="solid">
        <fgColor rgb="00C8912B"/>
      </patternFill>
    </fill>
    <fill>
      <patternFill patternType="solid">
        <fgColor rgb="00EEF2F8"/>
      </patternFill>
    </fill>
  </fills>
  <borders count="11">
    <border>
      <left/>
      <right/>
      <top/>
      <bottom/>
      <diagonal/>
    </border>
    <border>
      <right style="thin">
        <color rgb="003A5580"/>
      </right>
      <bottom style="medium">
        <color rgb="00C8912B"/>
      </bottom>
    </border>
    <border>
      <right style="thin">
        <color rgb="00D6DEEA"/>
      </right>
      <bottom style="thin">
        <color rgb="00D6DEEA"/>
      </bottom>
    </border>
    <border>
      <left style="thin">
        <color rgb="00D6DEEA"/>
      </left>
    </border>
    <border>
      <left/>
      <bottom style="thin">
        <color rgb="00D6DEEA"/>
      </bottom>
    </border>
    <border>
      <left style="thin">
        <color rgb="00D6DEEA"/>
      </left>
      <bottom style="thin">
        <color rgb="00D6DEEA"/>
      </bottom>
    </border>
    <border>
      <left style="medium">
        <color rgb="00C8912B"/>
      </left>
    </border>
    <border>
      <right style="thin">
        <color rgb="003A5580"/>
      </right>
    </border>
    <border>
      <bottom style="medium">
        <color rgb="00C8912B"/>
      </bottom>
    </border>
    <border>
      <top style="thin">
        <color rgb="001B2A4A"/>
      </top>
    </border>
    <border>
      <top style="thin">
        <color rgb="00D6DEEA"/>
      </top>
    </border>
  </borders>
  <cellStyleXfs count="1">
    <xf numFmtId="0" fontId="0" fillId="0" borderId="0"/>
  </cellStyleXfs>
  <cellXfs count="40">
    <xf numFmtId="0" fontId="0" fillId="0" borderId="0" pivotButton="0" quotePrefix="0" xfId="0"/>
    <xf numFmtId="0" fontId="14" fillId="2" borderId="0" applyAlignment="1" pivotButton="0" quotePrefix="0" xfId="0">
      <alignment vertical="center" indent="1"/>
    </xf>
    <xf numFmtId="0" fontId="0" fillId="3" borderId="0" pivotButton="0" quotePrefix="0" xfId="0"/>
    <xf numFmtId="0" fontId="4" fillId="0" borderId="0" applyAlignment="1" pivotButton="0" quotePrefix="0" xfId="0">
      <alignment vertical="center" wrapText="1" indent="1"/>
    </xf>
    <xf numFmtId="0" fontId="15" fillId="0" borderId="0" applyAlignment="1" pivotButton="0" quotePrefix="0" xfId="0">
      <alignment vertical="center" wrapText="1" indent="1"/>
    </xf>
    <xf numFmtId="0" fontId="16" fillId="0" borderId="8" applyAlignment="1" pivotButton="0" quotePrefix="0" xfId="0">
      <alignment vertical="center" wrapText="1" indent="1"/>
    </xf>
    <xf numFmtId="0" fontId="0" fillId="0" borderId="8" pivotButton="0" quotePrefix="0" xfId="0"/>
    <xf numFmtId="0" fontId="2" fillId="0" borderId="0" applyAlignment="1" pivotButton="0" quotePrefix="0" xfId="0">
      <alignment vertical="center" wrapText="1" indent="1"/>
    </xf>
    <xf numFmtId="0" fontId="3" fillId="0" borderId="9" applyAlignment="1" pivotButton="0" quotePrefix="0" xfId="0">
      <alignment vertical="top" wrapText="1" indent="1"/>
    </xf>
    <xf numFmtId="0" fontId="2" fillId="0" borderId="9" applyAlignment="1" pivotButton="0" quotePrefix="0" xfId="0">
      <alignment vertical="top" wrapText="1" indent="1"/>
    </xf>
    <xf numFmtId="0" fontId="3" fillId="0" borderId="10" applyAlignment="1" pivotButton="0" quotePrefix="0" xfId="0">
      <alignment vertical="top" wrapText="1" indent="1"/>
    </xf>
    <xf numFmtId="0" fontId="2" fillId="0" borderId="10" applyAlignment="1" pivotButton="0" quotePrefix="0" xfId="0">
      <alignment vertical="top" wrapText="1" indent="1"/>
    </xf>
    <xf numFmtId="0" fontId="17" fillId="0" borderId="0" applyAlignment="1" pivotButton="0" quotePrefix="0" xfId="0">
      <alignment vertical="center" wrapText="1" indent="1"/>
    </xf>
    <xf numFmtId="0" fontId="5" fillId="2" borderId="0" applyAlignment="1" pivotButton="0" quotePrefix="0" xfId="0">
      <alignment vertical="center" indent="1"/>
    </xf>
    <xf numFmtId="0" fontId="6" fillId="2" borderId="0" applyAlignment="1" pivotButton="0" quotePrefix="0" xfId="0">
      <alignment horizontal="right" vertical="center" indent="1"/>
    </xf>
    <xf numFmtId="0" fontId="7" fillId="0" borderId="0" applyAlignment="1" pivotButton="0" quotePrefix="0" xfId="0">
      <alignment vertical="center" indent="1"/>
    </xf>
    <xf numFmtId="0" fontId="7" fillId="0" borderId="3" applyAlignment="1" pivotButton="0" quotePrefix="0" xfId="0">
      <alignment vertical="center" indent="1"/>
    </xf>
    <xf numFmtId="0" fontId="8" fillId="0" borderId="0" applyAlignment="1" pivotButton="0" quotePrefix="0" xfId="0">
      <alignment vertical="center" indent="1"/>
    </xf>
    <xf numFmtId="0" fontId="8" fillId="0" borderId="3" applyAlignment="1" pivotButton="0" quotePrefix="0" xfId="0">
      <alignment vertical="center" indent="1"/>
    </xf>
    <xf numFmtId="0" fontId="9" fillId="0" borderId="4" applyAlignment="1" pivotButton="0" quotePrefix="0" xfId="0">
      <alignment vertical="center" indent="1"/>
    </xf>
    <xf numFmtId="0" fontId="0" fillId="0" borderId="4" pivotButton="0" quotePrefix="0" xfId="0"/>
    <xf numFmtId="0" fontId="9" fillId="0" borderId="5" applyAlignment="1" pivotButton="0" quotePrefix="0" xfId="0">
      <alignment vertical="center" indent="1"/>
    </xf>
    <xf numFmtId="0" fontId="10" fillId="0" borderId="6" applyAlignment="1" pivotButton="0" quotePrefix="0" xfId="0">
      <alignment vertical="center" wrapText="1" indent="1"/>
    </xf>
    <xf numFmtId="0" fontId="1" fillId="2" borderId="7" applyAlignment="1" pivotButton="0" quotePrefix="0" xfId="0">
      <alignment horizontal="left" vertical="center" wrapText="1" indent="1"/>
    </xf>
    <xf numFmtId="0" fontId="11" fillId="2" borderId="7" applyAlignment="1" pivotButton="0" quotePrefix="0" xfId="0">
      <alignment horizontal="left" vertical="center" wrapText="1" indent="1"/>
    </xf>
    <xf numFmtId="0" fontId="2" fillId="0" borderId="2" applyAlignment="1" pivotButton="0" quotePrefix="0" xfId="0">
      <alignment horizontal="left" vertical="center" indent="1"/>
    </xf>
    <xf numFmtId="164" fontId="2" fillId="0" borderId="2" applyAlignment="1" pivotButton="0" quotePrefix="0" xfId="0">
      <alignment horizontal="left" vertical="center" indent="1"/>
    </xf>
    <xf numFmtId="164" fontId="12" fillId="4" borderId="2" applyAlignment="1" pivotButton="0" quotePrefix="0" xfId="0">
      <alignment horizontal="left" vertical="center" indent="1"/>
    </xf>
    <xf numFmtId="0" fontId="12" fillId="4" borderId="2" applyAlignment="1" pivotButton="0" quotePrefix="0" xfId="0">
      <alignment horizontal="left" vertical="center" indent="1"/>
    </xf>
    <xf numFmtId="0" fontId="13" fillId="0" borderId="3" applyAlignment="1" pivotButton="0" quotePrefix="0" xfId="0">
      <alignment vertical="center" indent="1"/>
    </xf>
    <xf numFmtId="0" fontId="10" fillId="0" borderId="0" applyAlignment="1" pivotButton="0" quotePrefix="0" xfId="0">
      <alignment vertical="center" wrapText="1" indent="1"/>
    </xf>
    <xf numFmtId="0" fontId="1" fillId="2" borderId="7" applyAlignment="1" pivotButton="0" quotePrefix="0" xfId="0">
      <alignment vertical="center" wrapText="1" indent="1"/>
    </xf>
    <xf numFmtId="0" fontId="2" fillId="0" borderId="2" applyAlignment="1" pivotButton="0" quotePrefix="0" xfId="0">
      <alignment vertical="center" indent="1"/>
    </xf>
    <xf numFmtId="164" fontId="2" fillId="0" borderId="2" applyAlignment="1" pivotButton="0" quotePrefix="0" xfId="0">
      <alignment vertical="center" indent="1"/>
    </xf>
    <xf numFmtId="0" fontId="11" fillId="2" borderId="7" applyAlignment="1" pivotButton="0" quotePrefix="0" xfId="0">
      <alignment vertical="center" wrapText="1" indent="1"/>
    </xf>
    <xf numFmtId="164" fontId="12" fillId="4" borderId="2" applyAlignment="1" pivotButton="0" quotePrefix="0" xfId="0">
      <alignment vertical="center" indent="1"/>
    </xf>
    <xf numFmtId="0" fontId="12" fillId="4" borderId="2" applyAlignment="1" pivotButton="0" quotePrefix="0" xfId="0">
      <alignment vertical="center" indent="1"/>
    </xf>
    <xf numFmtId="0" fontId="1" fillId="2" borderId="1" applyAlignment="1" pivotButton="0" quotePrefix="0" xfId="0">
      <alignment vertical="center" indent="1"/>
    </xf>
    <xf numFmtId="0" fontId="3" fillId="0" borderId="0" pivotButton="0" quotePrefix="0" xfId="0"/>
    <xf numFmtId="0" fontId="4" fillId="0" borderId="0" applyAlignment="1" pivotButton="0" quotePrefix="0" xfId="0">
      <alignment vertical="top" wrapText="1"/>
    </xf>
  </cellXfs>
  <cellStyles count="1">
    <cellStyle name="Normal" xfId="0" builtinId="0" hidden="0"/>
  </cellStyles>
  <dxfs count="6">
    <dxf>
      <font>
        <name val="Calibri"/>
        <b val="1"/>
        <color rgb="00C0392B"/>
        <sz val="10"/>
      </font>
      <fill>
        <patternFill patternType="solid">
          <fgColor rgb="00FDEDEC"/>
        </patternFill>
      </fill>
    </dxf>
    <dxf>
      <font>
        <name val="Calibri"/>
        <b val="1"/>
        <color rgb="008A6400"/>
        <sz val="10"/>
      </font>
      <fill>
        <patternFill patternType="solid">
          <fgColor rgb="00FBF1D8"/>
        </patternFill>
      </fill>
    </dxf>
    <dxf>
      <fill>
        <patternFill patternType="solid">
          <fgColor rgb="00FDEDEC"/>
        </patternFill>
      </fill>
    </dxf>
    <dxf>
      <font>
        <name val="Calibri"/>
        <color rgb="009AA1AC"/>
        <sz val="10"/>
      </font>
    </dxf>
    <dxf>
      <fill>
        <patternFill patternType="solid">
          <fgColor rgb="00F7F9FC"/>
        </patternFill>
      </fill>
    </dxf>
    <dxf>
      <font>
        <name val="Calibri"/>
        <b val="1"/>
        <color rgb="001B2A4A"/>
        <sz val="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55"/>
  <sheetViews>
    <sheetView showGridLines="0" zoomScale="100" workbookViewId="0">
      <selection activeCell="A1" sqref="A1"/>
    </sheetView>
  </sheetViews>
  <sheetFormatPr baseColWidth="8" defaultRowHeight="15"/>
  <cols>
    <col width="3" customWidth="1" min="1" max="1"/>
    <col width="26" customWidth="1" min="2" max="2"/>
    <col width="86" customWidth="1" min="3" max="3"/>
    <col width="3" customWidth="1" min="4" max="4"/>
  </cols>
  <sheetData>
    <row r="1" ht="6" customHeight="1"/>
    <row r="2" ht="34" customHeight="1">
      <c r="B2" s="1" t="inlineStr">
        <is>
          <t>Application tracker: start here</t>
        </is>
      </c>
    </row>
    <row r="3" ht="4" customHeight="1">
      <c r="B3" s="2" t="n"/>
      <c r="C3" s="2" t="n"/>
    </row>
    <row r="4" ht="16" customHeight="1">
      <c r="B4" s="3" t="inlineStr">
        <is>
          <t>Module 05, Where to find jobs. Aussie Grad Careers.</t>
        </is>
      </c>
    </row>
    <row r="5" ht="7" customHeight="1"/>
    <row r="6" ht="48" customHeight="1">
      <c r="B6" s="4" t="inlineStr">
        <is>
          <t>If you can't see your pipeline, you can't manage it. That is the whole reason this file exists. Two numbers matter: 25 quality applications a week, and a follow-up on every one of them after 7 days. The sheet counts both for you.</t>
        </is>
      </c>
    </row>
    <row r="7" ht="7" customHeight="1"/>
    <row r="8" ht="22" customHeight="1">
      <c r="B8" s="5" t="inlineStr">
        <is>
          <t>The 60 second version</t>
        </is>
      </c>
      <c r="C8" s="6" t="n"/>
    </row>
    <row r="9" ht="6" customHeight="1"/>
    <row r="10" ht="16" customHeight="1">
      <c r="B10" s="7" t="inlineStr">
        <is>
          <t>1.  Open the Applications tab.</t>
        </is>
      </c>
    </row>
    <row r="11" ht="30" customHeight="1">
      <c r="B11" s="7" t="inlineStr">
        <is>
          <t>2.  The day you send an application, add one row. Company, role title, date, where you found it, and set the status to Applied.</t>
        </is>
      </c>
    </row>
    <row r="12" ht="16" customHeight="1">
      <c r="B12" s="7" t="inlineStr">
        <is>
          <t>3.  The sheet works out the follow-up date on its own. Seven days later the row turns red.</t>
        </is>
      </c>
    </row>
    <row r="13" ht="16" customHeight="1">
      <c r="B13" s="7" t="inlineStr">
        <is>
          <t>4.  When a row turns red, send the follow-up email, then put Yes in the Followed up column.</t>
        </is>
      </c>
    </row>
    <row r="14" ht="16" customHeight="1">
      <c r="B14" s="7" t="inlineStr">
        <is>
          <t>5.  Update the status as things move. That is it.</t>
        </is>
      </c>
    </row>
    <row r="15" ht="7" customHeight="1"/>
    <row r="16" ht="22" customHeight="1">
      <c r="B16" s="5" t="inlineStr">
        <is>
          <t>What each column is for</t>
        </is>
      </c>
      <c r="C16" s="6" t="n"/>
    </row>
    <row r="17" ht="6" customHeight="1"/>
    <row r="18" ht="18" customHeight="1">
      <c r="B18" s="8" t="inlineStr">
        <is>
          <t>Column</t>
        </is>
      </c>
      <c r="C18" s="9" t="inlineStr">
        <is>
          <t>What goes in it</t>
        </is>
      </c>
    </row>
    <row r="19" ht="19" customHeight="1">
      <c r="B19" s="10" t="inlineStr">
        <is>
          <t>Company</t>
        </is>
      </c>
      <c r="C19" s="11" t="inlineStr">
        <is>
          <t>The organisation you applied to.</t>
        </is>
      </c>
    </row>
    <row r="20" ht="33" customHeight="1">
      <c r="B20" s="10" t="inlineStr">
        <is>
          <t>Role title</t>
        </is>
      </c>
      <c r="C20" s="11" t="inlineStr">
        <is>
          <t>Exactly as it was advertised. It matters later when a recruiter rings and you have four applications with the same company.</t>
        </is>
      </c>
    </row>
    <row r="21" ht="33" customHeight="1">
      <c r="B21" s="10" t="inlineStr">
        <is>
          <t>Date applied</t>
        </is>
      </c>
      <c r="C21" s="11" t="inlineStr">
        <is>
          <t>The day you actually sent it. Press Ctrl and the semicolon key together to drop in today's date. Leave it empty if you have only saved the role and not applied yet.</t>
        </is>
      </c>
    </row>
    <row r="22" ht="33" customHeight="1">
      <c r="B22" s="10" t="inlineStr">
        <is>
          <t>Source</t>
        </is>
      </c>
      <c r="C22" s="11" t="inlineStr">
        <is>
          <t>Pick from the dropdown. After a few weeks you can filter this column and see which channel is actually producing replies for you.</t>
        </is>
      </c>
    </row>
    <row r="23" ht="33" customHeight="1">
      <c r="B23" s="10" t="inlineStr">
        <is>
          <t>Status</t>
        </is>
      </c>
      <c r="C23" s="11" t="inlineStr">
        <is>
          <t>Pick from the dropdown. Saved means you found it but have not applied. Everything after Applied means a human has come back to you.</t>
        </is>
      </c>
    </row>
    <row r="24" ht="33" customHeight="1">
      <c r="B24" s="10" t="inlineStr">
        <is>
          <t>Follow-up due</t>
        </is>
      </c>
      <c r="C24" s="11" t="inlineStr">
        <is>
          <t>Calculated. Seven days after the date applied, so it lands on the same weekday you applied. Do not type in this column.</t>
        </is>
      </c>
    </row>
    <row r="25" ht="33" customHeight="1">
      <c r="B25" s="10" t="inlineStr">
        <is>
          <t>Follow-up status</t>
        </is>
      </c>
      <c r="C25" s="11" t="inlineStr">
        <is>
          <t>Calculated. Tells you whether that follow-up is owing today, overdue, or still coming. Do not type in this column.</t>
        </is>
      </c>
    </row>
    <row r="26" ht="19" customHeight="1">
      <c r="B26" s="10" t="inlineStr">
        <is>
          <t>Followed up?</t>
        </is>
      </c>
      <c r="C26" s="11" t="inlineStr">
        <is>
          <t>Yes once you have sent the follow-up email. That stops the row nagging you.</t>
        </is>
      </c>
    </row>
    <row r="27" ht="33" customHeight="1">
      <c r="B27" s="10" t="inlineStr">
        <is>
          <t>Link to the job ad</t>
        </is>
      </c>
      <c r="C27" s="11" t="inlineStr">
        <is>
          <t>Paste the URL. Ads get taken down, and you will want the wording back when you are preparing for the interview.</t>
        </is>
      </c>
    </row>
    <row r="28" ht="33" customHeight="1">
      <c r="B28" s="10" t="inlineStr">
        <is>
          <t>Contact at company</t>
        </is>
      </c>
      <c r="C28" s="11" t="inlineStr">
        <is>
          <t>The recruiter or hiring manager if you know who it is. This is the column that turns a job board application into a conversation.</t>
        </is>
      </c>
    </row>
    <row r="29" ht="19" customHeight="1">
      <c r="B29" s="10" t="inlineStr">
        <is>
          <t>Notes</t>
        </is>
      </c>
      <c r="C29" s="11" t="inlineStr">
        <is>
          <t>Anything you would be annoyed to have forgotten in three weeks.</t>
        </is>
      </c>
    </row>
    <row r="30" ht="7" customHeight="1"/>
    <row r="31" ht="22" customHeight="1">
      <c r="B31" s="5" t="inlineStr">
        <is>
          <t>What the colours mean</t>
        </is>
      </c>
      <c r="C31" s="6" t="n"/>
    </row>
    <row r="32" ht="6" customHeight="1"/>
    <row r="33" ht="18" customHeight="1">
      <c r="B33" s="8" t="inlineStr">
        <is>
          <t>Colour</t>
        </is>
      </c>
      <c r="C33" s="9" t="inlineStr">
        <is>
          <t>Meaning</t>
        </is>
      </c>
    </row>
    <row r="34" ht="33" customHeight="1">
      <c r="B34" s="10" t="inlineStr">
        <is>
          <t>Red</t>
        </is>
      </c>
      <c r="C34" s="11" t="inlineStr">
        <is>
          <t>This follow-up is past 7 days and nobody has replied. Send the email today. There is a swipe file of the exact wording alongside this tracker.</t>
        </is>
      </c>
    </row>
    <row r="35" ht="33" customHeight="1">
      <c r="B35" s="10" t="inlineStr">
        <is>
          <t>Gold</t>
        </is>
      </c>
      <c r="C35" s="11" t="inlineStr">
        <is>
          <t>Either the follow-up is due today, or you have an offer. Both are worth looking at.</t>
        </is>
      </c>
    </row>
    <row r="36" ht="33" customHeight="1">
      <c r="B36" s="10" t="inlineStr">
        <is>
          <t>Faded grey</t>
        </is>
      </c>
      <c r="C36" s="11" t="inlineStr">
        <is>
          <t>Rejected or withdrawn. Left in place on purpose, because the count of applications you have actually sent is the honest number.</t>
        </is>
      </c>
    </row>
    <row r="37" ht="7" customHeight="1"/>
    <row r="38" ht="22" customHeight="1">
      <c r="B38" s="5" t="inlineStr">
        <is>
          <t>The numbers along the top</t>
        </is>
      </c>
      <c r="C38" s="6" t="n"/>
    </row>
    <row r="39" ht="6" customHeight="1"/>
    <row r="40" ht="56" customHeight="1">
      <c r="B40" s="7" t="inlineStr">
        <is>
          <t>Those five figures update themselves as you type. The one to watch is the second: how many applications you still owe yourself this week to reach 25, and roughly how many a day that is from today. The week resets on Monday. Most people are surprised the first time they look at it. Six applications feels like a busy week until the sheet tells you the target is 25.</t>
        </is>
      </c>
    </row>
    <row r="41" ht="7" customHeight="1"/>
    <row r="42" ht="22" customHeight="1">
      <c r="B42" s="5" t="inlineStr">
        <is>
          <t>If you use Google Sheets</t>
        </is>
      </c>
      <c r="C42" s="6" t="n"/>
    </row>
    <row r="43" ht="6" customHeight="1"/>
    <row r="44" ht="42" customHeight="1">
      <c r="B44" s="7" t="inlineStr">
        <is>
          <t>File, then Import, then Upload, and choose this file. Pick Replace spreadsheet. Every formula, dropdown and colour rule in here works in Google Sheets and in LibreOffice, not just Excel. Nothing needs to be rebuilt.</t>
        </is>
      </c>
    </row>
    <row r="45" ht="7" customHeight="1"/>
    <row r="46" ht="22" customHeight="1">
      <c r="B46" s="5" t="inlineStr">
        <is>
          <t>Two honest notes</t>
        </is>
      </c>
      <c r="C46" s="6" t="n"/>
    </row>
    <row r="47" ht="6" customHeight="1"/>
    <row r="48" ht="30" customHeight="1">
      <c r="B48" s="7" t="inlineStr">
        <is>
          <t>The follow-up date is 7 plain days, not working days, so it lands on the same weekday you applied. Around Easter and Christmas, give it an extra day or two before you chase.</t>
        </is>
      </c>
    </row>
    <row r="49" ht="30" customHeight="1">
      <c r="B49" s="7" t="inlineStr">
        <is>
          <t>There are 500 blank rows. If you fill them all, copy the last row down and the formulas come with it.</t>
        </is>
      </c>
    </row>
    <row r="50" ht="7" customHeight="1"/>
    <row r="51" ht="22" customHeight="1">
      <c r="B51" s="5" t="inlineStr">
        <is>
          <t>Where this came from</t>
        </is>
      </c>
      <c r="C51" s="6" t="n"/>
    </row>
    <row r="52" ht="6" customHeight="1"/>
    <row r="53" ht="52" customHeight="1">
      <c r="B53" s="7" t="inlineStr">
        <is>
          <t>Module 05 of the Aussie Grad Careers course. If you have not watched it, the tracker will still work, but the 50 / 30 / 20 rule and the target company move in that video are what make the numbers in this sheet move. One correction: the targets here, 25 a week and a 7 day follow-up, are the current ones. Where the video says otherwise, trust the sheet.</t>
        </is>
      </c>
    </row>
    <row r="54" ht="7" customHeight="1"/>
    <row r="55" ht="18" customHeight="1">
      <c r="B55" s="12" t="inlineStr">
        <is>
          <t>Free diagnostic: theaussiegradcareers.com.au/welcome</t>
        </is>
      </c>
    </row>
  </sheetData>
  <mergeCells count="21">
    <mergeCell ref="B16:C16"/>
    <mergeCell ref="B46:C46"/>
    <mergeCell ref="B31:C31"/>
    <mergeCell ref="B12:C12"/>
    <mergeCell ref="B2:C2"/>
    <mergeCell ref="B48:C48"/>
    <mergeCell ref="B11:C11"/>
    <mergeCell ref="B42:C42"/>
    <mergeCell ref="B14:C14"/>
    <mergeCell ref="B8:C8"/>
    <mergeCell ref="B53:C53"/>
    <mergeCell ref="B13:C13"/>
    <mergeCell ref="B38:C38"/>
    <mergeCell ref="B44:C44"/>
    <mergeCell ref="B10:C10"/>
    <mergeCell ref="B40:C40"/>
    <mergeCell ref="B49:C49"/>
    <mergeCell ref="B55:C55"/>
    <mergeCell ref="B6:C6"/>
    <mergeCell ref="B51:C51"/>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K508"/>
  <sheetViews>
    <sheetView showGridLines="0" workbookViewId="0">
      <pane ySplit="8" topLeftCell="A9" activePane="bottomLeft" state="frozen"/>
      <selection pane="bottomLeft" activeCell="A1" sqref="A1"/>
    </sheetView>
  </sheetViews>
  <sheetFormatPr baseColWidth="8" defaultRowHeight="15"/>
  <cols>
    <col width="22" customWidth="1" min="1" max="1"/>
    <col width="30" customWidth="1" min="2" max="2"/>
    <col width="13" customWidth="1" min="3" max="3"/>
    <col width="16" customWidth="1" min="4" max="4"/>
    <col width="18" customWidth="1" min="5" max="5"/>
    <col width="14" customWidth="1" min="6" max="6"/>
    <col width="22" customWidth="1" min="7" max="7"/>
    <col width="13" customWidth="1" min="8" max="8"/>
    <col width="32" customWidth="1" min="9" max="9"/>
    <col width="20" customWidth="1" min="10" max="10"/>
    <col width="42" customWidth="1" min="11" max="11"/>
  </cols>
  <sheetData>
    <row r="1" ht="6" customHeight="1"/>
    <row r="2" ht="30" customHeight="1">
      <c r="A2" s="13" t="inlineStr">
        <is>
          <t>Application tracker</t>
        </is>
      </c>
      <c r="G2" s="14" t="inlineStr">
        <is>
          <t>Aussie Grad Careers</t>
        </is>
      </c>
    </row>
    <row r="3" ht="4" customHeight="1">
      <c r="A3" s="2" t="n"/>
      <c r="B3" s="2" t="n"/>
      <c r="C3" s="2" t="n"/>
      <c r="D3" s="2" t="n"/>
      <c r="E3" s="2" t="n"/>
      <c r="F3" s="2" t="n"/>
      <c r="G3" s="2" t="n"/>
      <c r="H3" s="2" t="n"/>
      <c r="I3" s="2" t="n"/>
      <c r="J3" s="2" t="n"/>
      <c r="K3" s="2" t="n"/>
    </row>
    <row r="4" ht="16" customHeight="1">
      <c r="A4" s="15" t="inlineStr">
        <is>
          <t>APPLICATIONS THIS WEEK</t>
        </is>
      </c>
      <c r="C4" s="16" t="inlineStr">
        <is>
          <t>STILL TO SEND THIS WEEK</t>
        </is>
      </c>
      <c r="F4" s="16" t="inlineStr">
        <is>
          <t>FOLLOW-UPS OVERDUE</t>
        </is>
      </c>
      <c r="I4" s="16" t="inlineStr">
        <is>
          <t>REPLIES</t>
        </is>
      </c>
      <c r="K4" s="16" t="inlineStr">
        <is>
          <t>INTERVIEWS</t>
        </is>
      </c>
    </row>
    <row r="5" ht="28" customHeight="1">
      <c r="A5" s="17">
        <f>COUNTIFS($C$9:$C$508,"&gt;="&amp;TODAY()-WEEKDAY(TODAY(),3),$C$9:$C$508,"&lt;="&amp;TODAY()-WEEKDAY(TODAY(),3)+6)</f>
        <v/>
      </c>
      <c r="C5" s="18">
        <f>MAX(0,25-COUNTIFS($C$9:$C$508,"&gt;="&amp;TODAY()-WEEKDAY(TODAY(),3),$C$9:$C$508,"&lt;="&amp;TODAY()-WEEKDAY(TODAY(),3)+6))</f>
        <v/>
      </c>
      <c r="F5" s="18">
        <f>COUNTIF($G$9:$G$508,"Overdue*")</f>
        <v/>
      </c>
      <c r="I5" s="18">
        <f>SUMPRODUCT(COUNTIF($E$9:$E$508,{"Recruiter screen","Interview 1","Interview 2","Final interview","Offer","Rejected"}))</f>
        <v/>
      </c>
      <c r="K5" s="18">
        <f>SUMPRODUCT(COUNTIF($E$9:$E$508,{"Interview 1","Interview 2","Final interview","Offer"}))</f>
        <v/>
      </c>
    </row>
    <row r="6" ht="15" customHeight="1">
      <c r="A6" s="19">
        <f>"the target is 25 a week"</f>
        <v/>
      </c>
      <c r="B6" s="20" t="n"/>
      <c r="C6" s="21">
        <f>IF(MAX(0,25-COUNTIFS($C$9:$C$508,"&gt;="&amp;TODAY()-WEEKDAY(TODAY(),3),$C$9:$C$508,"&lt;="&amp;TODAY()-WEEKDAY(TODAY(),3)+6))=0,"target met for this week","about "&amp;TEXT(ROUNDUP(MAX(0,25-COUNTIFS($C$9:$C$508,"&gt;="&amp;TODAY()-WEEKDAY(TODAY(),3),$C$9:$C$508,"&lt;="&amp;TODAY()-WEEKDAY(TODAY(),3)+6))/MAX(1,TODAY()-WEEKDAY(TODAY(),3)+6-TODAY()+1),0),"0")&amp;" a day for the rest of the week")</f>
        <v/>
      </c>
      <c r="D6" s="20" t="n"/>
      <c r="E6" s="20" t="n"/>
      <c r="F6" s="21">
        <f>IF(COUNTIF($G$9:$G$508,"Overdue*")=0,"nothing owing today","past 7 days, no reply")</f>
        <v/>
      </c>
      <c r="G6" s="20" t="n"/>
      <c r="H6" s="20" t="n"/>
      <c r="I6" s="21">
        <f>IF(COUNT($C$9:$C$508)=0,"no applications logged yet",TEXT(SUMPRODUCT(COUNTIF($E$9:$E$508,{"Recruiter screen","Interview 1","Interview 2","Final interview","Offer","Rejected"}))/COUNT($C$9:$C$508),"0%")&amp;" of everything you have sent")</f>
        <v/>
      </c>
      <c r="J6" s="20" t="n"/>
      <c r="K6" s="21">
        <f>IF(COUNT($C$9:$C$508)=0,"","from "&amp;COUNT($C$9:$C$508)&amp;" applications sent")</f>
        <v/>
      </c>
    </row>
    <row r="7" ht="34" customHeight="1">
      <c r="A7" s="22" t="inlineStr">
        <is>
          <t>The first five columns are typed by hand, every application, every time. About 3 minutes a row once you have chased down the link and the contact name. At 25 applications a week that is 75 minutes a week, near enough 5 hours a month, spent typing. JobHub logs the row straight from the job ad and tracks the follow-up date itself. This sheet does the same job properly. It just costs you those 5 hours.</t>
        </is>
      </c>
    </row>
    <row r="8" ht="32" customHeight="1">
      <c r="A8" s="23" t="inlineStr">
        <is>
          <t>Company</t>
        </is>
      </c>
      <c r="B8" s="23" t="inlineStr">
        <is>
          <t>Role title</t>
        </is>
      </c>
      <c r="C8" s="23" t="inlineStr">
        <is>
          <t>Date applied</t>
        </is>
      </c>
      <c r="D8" s="23" t="inlineStr">
        <is>
          <t>Source</t>
        </is>
      </c>
      <c r="E8" s="23" t="inlineStr">
        <is>
          <t>Status</t>
        </is>
      </c>
      <c r="F8" s="24" t="inlineStr">
        <is>
          <t>Follow-up due
(auto)</t>
        </is>
      </c>
      <c r="G8" s="24" t="inlineStr">
        <is>
          <t>Follow-up status
(auto)</t>
        </is>
      </c>
      <c r="H8" s="23" t="inlineStr">
        <is>
          <t>Followed
up?</t>
        </is>
      </c>
      <c r="I8" s="23" t="inlineStr">
        <is>
          <t>Link to the job ad</t>
        </is>
      </c>
      <c r="J8" s="23" t="inlineStr">
        <is>
          <t>Contact at company</t>
        </is>
      </c>
      <c r="K8" s="23" t="inlineStr">
        <is>
          <t>Notes</t>
        </is>
      </c>
    </row>
    <row r="9" ht="18" customHeight="1">
      <c r="A9" s="25" t="n"/>
      <c r="B9" s="25" t="n"/>
      <c r="C9" s="26" t="n"/>
      <c r="D9" s="25" t="n"/>
      <c r="E9" s="25" t="n"/>
      <c r="F9" s="27">
        <f>IF($C9="","",$C9+7)</f>
        <v/>
      </c>
      <c r="G9" s="28">
        <f>IF($C9="","",IF(AND($E9&lt;&gt;"Applied",$E9&lt;&gt;""),"-",IF($H9="Yes","Followed up",IF(TODAY()&gt;$F9,"Overdue by "&amp;(TODAY()-$F9)&amp;IF(TODAY()-$F9=1," day"," days"),IF(TODAY()=$F9,"Follow up today","Due in "&amp;($F9-TODAY())&amp;IF($F9-TODAY()=1," day"," days"))))))</f>
        <v/>
      </c>
      <c r="H9" s="25" t="n"/>
      <c r="I9" s="25" t="n"/>
      <c r="J9" s="25" t="n"/>
      <c r="K9" s="25" t="n"/>
    </row>
    <row r="10" ht="18" customHeight="1">
      <c r="A10" s="25" t="n"/>
      <c r="B10" s="25" t="n"/>
      <c r="C10" s="26" t="n"/>
      <c r="D10" s="25" t="n"/>
      <c r="E10" s="25" t="n"/>
      <c r="F10" s="27">
        <f>IF($C10="","",$C10+7)</f>
        <v/>
      </c>
      <c r="G10" s="28">
        <f>IF($C10="","",IF(AND($E10&lt;&gt;"Applied",$E10&lt;&gt;""),"-",IF($H10="Yes","Followed up",IF(TODAY()&gt;$F10,"Overdue by "&amp;(TODAY()-$F10)&amp;IF(TODAY()-$F10=1," day"," days"),IF(TODAY()=$F10,"Follow up today","Due in "&amp;($F10-TODAY())&amp;IF($F10-TODAY()=1," day"," days"))))))</f>
        <v/>
      </c>
      <c r="H10" s="25" t="n"/>
      <c r="I10" s="25" t="n"/>
      <c r="J10" s="25" t="n"/>
      <c r="K10" s="25" t="n"/>
    </row>
    <row r="11" ht="18" customHeight="1">
      <c r="A11" s="25" t="n"/>
      <c r="B11" s="25" t="n"/>
      <c r="C11" s="26" t="n"/>
      <c r="D11" s="25" t="n"/>
      <c r="E11" s="25" t="n"/>
      <c r="F11" s="27">
        <f>IF($C11="","",$C11+7)</f>
        <v/>
      </c>
      <c r="G11" s="28">
        <f>IF($C11="","",IF(AND($E11&lt;&gt;"Applied",$E11&lt;&gt;""),"-",IF($H11="Yes","Followed up",IF(TODAY()&gt;$F11,"Overdue by "&amp;(TODAY()-$F11)&amp;IF(TODAY()-$F11=1," day"," days"),IF(TODAY()=$F11,"Follow up today","Due in "&amp;($F11-TODAY())&amp;IF($F11-TODAY()=1," day"," days"))))))</f>
        <v/>
      </c>
      <c r="H11" s="25" t="n"/>
      <c r="I11" s="25" t="n"/>
      <c r="J11" s="25" t="n"/>
      <c r="K11" s="25" t="n"/>
    </row>
    <row r="12" ht="18" customHeight="1">
      <c r="A12" s="25" t="n"/>
      <c r="B12" s="25" t="n"/>
      <c r="C12" s="26" t="n"/>
      <c r="D12" s="25" t="n"/>
      <c r="E12" s="25" t="n"/>
      <c r="F12" s="27">
        <f>IF($C12="","",$C12+7)</f>
        <v/>
      </c>
      <c r="G12" s="28">
        <f>IF($C12="","",IF(AND($E12&lt;&gt;"Applied",$E12&lt;&gt;""),"-",IF($H12="Yes","Followed up",IF(TODAY()&gt;$F12,"Overdue by "&amp;(TODAY()-$F12)&amp;IF(TODAY()-$F12=1," day"," days"),IF(TODAY()=$F12,"Follow up today","Due in "&amp;($F12-TODAY())&amp;IF($F12-TODAY()=1," day"," days"))))))</f>
        <v/>
      </c>
      <c r="H12" s="25" t="n"/>
      <c r="I12" s="25" t="n"/>
      <c r="J12" s="25" t="n"/>
      <c r="K12" s="25" t="n"/>
    </row>
    <row r="13" ht="18" customHeight="1">
      <c r="A13" s="25" t="n"/>
      <c r="B13" s="25" t="n"/>
      <c r="C13" s="26" t="n"/>
      <c r="D13" s="25" t="n"/>
      <c r="E13" s="25" t="n"/>
      <c r="F13" s="27">
        <f>IF($C13="","",$C13+7)</f>
        <v/>
      </c>
      <c r="G13" s="28">
        <f>IF($C13="","",IF(AND($E13&lt;&gt;"Applied",$E13&lt;&gt;""),"-",IF($H13="Yes","Followed up",IF(TODAY()&gt;$F13,"Overdue by "&amp;(TODAY()-$F13)&amp;IF(TODAY()-$F13=1," day"," days"),IF(TODAY()=$F13,"Follow up today","Due in "&amp;($F13-TODAY())&amp;IF($F13-TODAY()=1," day"," days"))))))</f>
        <v/>
      </c>
      <c r="H13" s="25" t="n"/>
      <c r="I13" s="25" t="n"/>
      <c r="J13" s="25" t="n"/>
      <c r="K13" s="25" t="n"/>
    </row>
    <row r="14" ht="18" customHeight="1">
      <c r="A14" s="25" t="n"/>
      <c r="B14" s="25" t="n"/>
      <c r="C14" s="26" t="n"/>
      <c r="D14" s="25" t="n"/>
      <c r="E14" s="25" t="n"/>
      <c r="F14" s="27">
        <f>IF($C14="","",$C14+7)</f>
        <v/>
      </c>
      <c r="G14" s="28">
        <f>IF($C14="","",IF(AND($E14&lt;&gt;"Applied",$E14&lt;&gt;""),"-",IF($H14="Yes","Followed up",IF(TODAY()&gt;$F14,"Overdue by "&amp;(TODAY()-$F14)&amp;IF(TODAY()-$F14=1," day"," days"),IF(TODAY()=$F14,"Follow up today","Due in "&amp;($F14-TODAY())&amp;IF($F14-TODAY()=1," day"," days"))))))</f>
        <v/>
      </c>
      <c r="H14" s="25" t="n"/>
      <c r="I14" s="25" t="n"/>
      <c r="J14" s="25" t="n"/>
      <c r="K14" s="25" t="n"/>
    </row>
    <row r="15" ht="18" customHeight="1">
      <c r="A15" s="25" t="n"/>
      <c r="B15" s="25" t="n"/>
      <c r="C15" s="26" t="n"/>
      <c r="D15" s="25" t="n"/>
      <c r="E15" s="25" t="n"/>
      <c r="F15" s="27">
        <f>IF($C15="","",$C15+7)</f>
        <v/>
      </c>
      <c r="G15" s="28">
        <f>IF($C15="","",IF(AND($E15&lt;&gt;"Applied",$E15&lt;&gt;""),"-",IF($H15="Yes","Followed up",IF(TODAY()&gt;$F15,"Overdue by "&amp;(TODAY()-$F15)&amp;IF(TODAY()-$F15=1," day"," days"),IF(TODAY()=$F15,"Follow up today","Due in "&amp;($F15-TODAY())&amp;IF($F15-TODAY()=1," day"," days"))))))</f>
        <v/>
      </c>
      <c r="H15" s="25" t="n"/>
      <c r="I15" s="25" t="n"/>
      <c r="J15" s="25" t="n"/>
      <c r="K15" s="25" t="n"/>
    </row>
    <row r="16" ht="18" customHeight="1">
      <c r="A16" s="25" t="n"/>
      <c r="B16" s="25" t="n"/>
      <c r="C16" s="26" t="n"/>
      <c r="D16" s="25" t="n"/>
      <c r="E16" s="25" t="n"/>
      <c r="F16" s="27">
        <f>IF($C16="","",$C16+7)</f>
        <v/>
      </c>
      <c r="G16" s="28">
        <f>IF($C16="","",IF(AND($E16&lt;&gt;"Applied",$E16&lt;&gt;""),"-",IF($H16="Yes","Followed up",IF(TODAY()&gt;$F16,"Overdue by "&amp;(TODAY()-$F16)&amp;IF(TODAY()-$F16=1," day"," days"),IF(TODAY()=$F16,"Follow up today","Due in "&amp;($F16-TODAY())&amp;IF($F16-TODAY()=1," day"," days"))))))</f>
        <v/>
      </c>
      <c r="H16" s="25" t="n"/>
      <c r="I16" s="25" t="n"/>
      <c r="J16" s="25" t="n"/>
      <c r="K16" s="25" t="n"/>
    </row>
    <row r="17" ht="18" customHeight="1">
      <c r="A17" s="25" t="n"/>
      <c r="B17" s="25" t="n"/>
      <c r="C17" s="26" t="n"/>
      <c r="D17" s="25" t="n"/>
      <c r="E17" s="25" t="n"/>
      <c r="F17" s="27">
        <f>IF($C17="","",$C17+7)</f>
        <v/>
      </c>
      <c r="G17" s="28">
        <f>IF($C17="","",IF(AND($E17&lt;&gt;"Applied",$E17&lt;&gt;""),"-",IF($H17="Yes","Followed up",IF(TODAY()&gt;$F17,"Overdue by "&amp;(TODAY()-$F17)&amp;IF(TODAY()-$F17=1," day"," days"),IF(TODAY()=$F17,"Follow up today","Due in "&amp;($F17-TODAY())&amp;IF($F17-TODAY()=1," day"," days"))))))</f>
        <v/>
      </c>
      <c r="H17" s="25" t="n"/>
      <c r="I17" s="25" t="n"/>
      <c r="J17" s="25" t="n"/>
      <c r="K17" s="25" t="n"/>
    </row>
    <row r="18" ht="18" customHeight="1">
      <c r="A18" s="25" t="n"/>
      <c r="B18" s="25" t="n"/>
      <c r="C18" s="26" t="n"/>
      <c r="D18" s="25" t="n"/>
      <c r="E18" s="25" t="n"/>
      <c r="F18" s="27">
        <f>IF($C18="","",$C18+7)</f>
        <v/>
      </c>
      <c r="G18" s="28">
        <f>IF($C18="","",IF(AND($E18&lt;&gt;"Applied",$E18&lt;&gt;""),"-",IF($H18="Yes","Followed up",IF(TODAY()&gt;$F18,"Overdue by "&amp;(TODAY()-$F18)&amp;IF(TODAY()-$F18=1," day"," days"),IF(TODAY()=$F18,"Follow up today","Due in "&amp;($F18-TODAY())&amp;IF($F18-TODAY()=1," day"," days"))))))</f>
        <v/>
      </c>
      <c r="H18" s="25" t="n"/>
      <c r="I18" s="25" t="n"/>
      <c r="J18" s="25" t="n"/>
      <c r="K18" s="25" t="n"/>
    </row>
    <row r="19" ht="18" customHeight="1">
      <c r="A19" s="25" t="n"/>
      <c r="B19" s="25" t="n"/>
      <c r="C19" s="26" t="n"/>
      <c r="D19" s="25" t="n"/>
      <c r="E19" s="25" t="n"/>
      <c r="F19" s="27">
        <f>IF($C19="","",$C19+7)</f>
        <v/>
      </c>
      <c r="G19" s="28">
        <f>IF($C19="","",IF(AND($E19&lt;&gt;"Applied",$E19&lt;&gt;""),"-",IF($H19="Yes","Followed up",IF(TODAY()&gt;$F19,"Overdue by "&amp;(TODAY()-$F19)&amp;IF(TODAY()-$F19=1," day"," days"),IF(TODAY()=$F19,"Follow up today","Due in "&amp;($F19-TODAY())&amp;IF($F19-TODAY()=1," day"," days"))))))</f>
        <v/>
      </c>
      <c r="H19" s="25" t="n"/>
      <c r="I19" s="25" t="n"/>
      <c r="J19" s="25" t="n"/>
      <c r="K19" s="25" t="n"/>
    </row>
    <row r="20" ht="18" customHeight="1">
      <c r="A20" s="25" t="n"/>
      <c r="B20" s="25" t="n"/>
      <c r="C20" s="26" t="n"/>
      <c r="D20" s="25" t="n"/>
      <c r="E20" s="25" t="n"/>
      <c r="F20" s="27">
        <f>IF($C20="","",$C20+7)</f>
        <v/>
      </c>
      <c r="G20" s="28">
        <f>IF($C20="","",IF(AND($E20&lt;&gt;"Applied",$E20&lt;&gt;""),"-",IF($H20="Yes","Followed up",IF(TODAY()&gt;$F20,"Overdue by "&amp;(TODAY()-$F20)&amp;IF(TODAY()-$F20=1," day"," days"),IF(TODAY()=$F20,"Follow up today","Due in "&amp;($F20-TODAY())&amp;IF($F20-TODAY()=1," day"," days"))))))</f>
        <v/>
      </c>
      <c r="H20" s="25" t="n"/>
      <c r="I20" s="25" t="n"/>
      <c r="J20" s="25" t="n"/>
      <c r="K20" s="25" t="n"/>
    </row>
    <row r="21" ht="18" customHeight="1">
      <c r="A21" s="25" t="n"/>
      <c r="B21" s="25" t="n"/>
      <c r="C21" s="26" t="n"/>
      <c r="D21" s="25" t="n"/>
      <c r="E21" s="25" t="n"/>
      <c r="F21" s="27">
        <f>IF($C21="","",$C21+7)</f>
        <v/>
      </c>
      <c r="G21" s="28">
        <f>IF($C21="","",IF(AND($E21&lt;&gt;"Applied",$E21&lt;&gt;""),"-",IF($H21="Yes","Followed up",IF(TODAY()&gt;$F21,"Overdue by "&amp;(TODAY()-$F21)&amp;IF(TODAY()-$F21=1," day"," days"),IF(TODAY()=$F21,"Follow up today","Due in "&amp;($F21-TODAY())&amp;IF($F21-TODAY()=1," day"," days"))))))</f>
        <v/>
      </c>
      <c r="H21" s="25" t="n"/>
      <c r="I21" s="25" t="n"/>
      <c r="J21" s="25" t="n"/>
      <c r="K21" s="25" t="n"/>
    </row>
    <row r="22" ht="18" customHeight="1">
      <c r="A22" s="25" t="n"/>
      <c r="B22" s="25" t="n"/>
      <c r="C22" s="26" t="n"/>
      <c r="D22" s="25" t="n"/>
      <c r="E22" s="25" t="n"/>
      <c r="F22" s="27">
        <f>IF($C22="","",$C22+7)</f>
        <v/>
      </c>
      <c r="G22" s="28">
        <f>IF($C22="","",IF(AND($E22&lt;&gt;"Applied",$E22&lt;&gt;""),"-",IF($H22="Yes","Followed up",IF(TODAY()&gt;$F22,"Overdue by "&amp;(TODAY()-$F22)&amp;IF(TODAY()-$F22=1," day"," days"),IF(TODAY()=$F22,"Follow up today","Due in "&amp;($F22-TODAY())&amp;IF($F22-TODAY()=1," day"," days"))))))</f>
        <v/>
      </c>
      <c r="H22" s="25" t="n"/>
      <c r="I22" s="25" t="n"/>
      <c r="J22" s="25" t="n"/>
      <c r="K22" s="25" t="n"/>
    </row>
    <row r="23" ht="18" customHeight="1">
      <c r="A23" s="25" t="n"/>
      <c r="B23" s="25" t="n"/>
      <c r="C23" s="26" t="n"/>
      <c r="D23" s="25" t="n"/>
      <c r="E23" s="25" t="n"/>
      <c r="F23" s="27">
        <f>IF($C23="","",$C23+7)</f>
        <v/>
      </c>
      <c r="G23" s="28">
        <f>IF($C23="","",IF(AND($E23&lt;&gt;"Applied",$E23&lt;&gt;""),"-",IF($H23="Yes","Followed up",IF(TODAY()&gt;$F23,"Overdue by "&amp;(TODAY()-$F23)&amp;IF(TODAY()-$F23=1," day"," days"),IF(TODAY()=$F23,"Follow up today","Due in "&amp;($F23-TODAY())&amp;IF($F23-TODAY()=1," day"," days"))))))</f>
        <v/>
      </c>
      <c r="H23" s="25" t="n"/>
      <c r="I23" s="25" t="n"/>
      <c r="J23" s="25" t="n"/>
      <c r="K23" s="25" t="n"/>
    </row>
    <row r="24" ht="18" customHeight="1">
      <c r="A24" s="25" t="n"/>
      <c r="B24" s="25" t="n"/>
      <c r="C24" s="26" t="n"/>
      <c r="D24" s="25" t="n"/>
      <c r="E24" s="25" t="n"/>
      <c r="F24" s="27">
        <f>IF($C24="","",$C24+7)</f>
        <v/>
      </c>
      <c r="G24" s="28">
        <f>IF($C24="","",IF(AND($E24&lt;&gt;"Applied",$E24&lt;&gt;""),"-",IF($H24="Yes","Followed up",IF(TODAY()&gt;$F24,"Overdue by "&amp;(TODAY()-$F24)&amp;IF(TODAY()-$F24=1," day"," days"),IF(TODAY()=$F24,"Follow up today","Due in "&amp;($F24-TODAY())&amp;IF($F24-TODAY()=1," day"," days"))))))</f>
        <v/>
      </c>
      <c r="H24" s="25" t="n"/>
      <c r="I24" s="25" t="n"/>
      <c r="J24" s="25" t="n"/>
      <c r="K24" s="25" t="n"/>
    </row>
    <row r="25" ht="18" customHeight="1">
      <c r="A25" s="25" t="n"/>
      <c r="B25" s="25" t="n"/>
      <c r="C25" s="26" t="n"/>
      <c r="D25" s="25" t="n"/>
      <c r="E25" s="25" t="n"/>
      <c r="F25" s="27">
        <f>IF($C25="","",$C25+7)</f>
        <v/>
      </c>
      <c r="G25" s="28">
        <f>IF($C25="","",IF(AND($E25&lt;&gt;"Applied",$E25&lt;&gt;""),"-",IF($H25="Yes","Followed up",IF(TODAY()&gt;$F25,"Overdue by "&amp;(TODAY()-$F25)&amp;IF(TODAY()-$F25=1," day"," days"),IF(TODAY()=$F25,"Follow up today","Due in "&amp;($F25-TODAY())&amp;IF($F25-TODAY()=1," day"," days"))))))</f>
        <v/>
      </c>
      <c r="H25" s="25" t="n"/>
      <c r="I25" s="25" t="n"/>
      <c r="J25" s="25" t="n"/>
      <c r="K25" s="25" t="n"/>
    </row>
    <row r="26" ht="18" customHeight="1">
      <c r="A26" s="25" t="n"/>
      <c r="B26" s="25" t="n"/>
      <c r="C26" s="26" t="n"/>
      <c r="D26" s="25" t="n"/>
      <c r="E26" s="25" t="n"/>
      <c r="F26" s="27">
        <f>IF($C26="","",$C26+7)</f>
        <v/>
      </c>
      <c r="G26" s="28">
        <f>IF($C26="","",IF(AND($E26&lt;&gt;"Applied",$E26&lt;&gt;""),"-",IF($H26="Yes","Followed up",IF(TODAY()&gt;$F26,"Overdue by "&amp;(TODAY()-$F26)&amp;IF(TODAY()-$F26=1," day"," days"),IF(TODAY()=$F26,"Follow up today","Due in "&amp;($F26-TODAY())&amp;IF($F26-TODAY()=1," day"," days"))))))</f>
        <v/>
      </c>
      <c r="H26" s="25" t="n"/>
      <c r="I26" s="25" t="n"/>
      <c r="J26" s="25" t="n"/>
      <c r="K26" s="25" t="n"/>
    </row>
    <row r="27" ht="18" customHeight="1">
      <c r="A27" s="25" t="n"/>
      <c r="B27" s="25" t="n"/>
      <c r="C27" s="26" t="n"/>
      <c r="D27" s="25" t="n"/>
      <c r="E27" s="25" t="n"/>
      <c r="F27" s="27">
        <f>IF($C27="","",$C27+7)</f>
        <v/>
      </c>
      <c r="G27" s="28">
        <f>IF($C27="","",IF(AND($E27&lt;&gt;"Applied",$E27&lt;&gt;""),"-",IF($H27="Yes","Followed up",IF(TODAY()&gt;$F27,"Overdue by "&amp;(TODAY()-$F27)&amp;IF(TODAY()-$F27=1," day"," days"),IF(TODAY()=$F27,"Follow up today","Due in "&amp;($F27-TODAY())&amp;IF($F27-TODAY()=1," day"," days"))))))</f>
        <v/>
      </c>
      <c r="H27" s="25" t="n"/>
      <c r="I27" s="25" t="n"/>
      <c r="J27" s="25" t="n"/>
      <c r="K27" s="25" t="n"/>
    </row>
    <row r="28" ht="18" customHeight="1">
      <c r="A28" s="25" t="n"/>
      <c r="B28" s="25" t="n"/>
      <c r="C28" s="26" t="n"/>
      <c r="D28" s="25" t="n"/>
      <c r="E28" s="25" t="n"/>
      <c r="F28" s="27">
        <f>IF($C28="","",$C28+7)</f>
        <v/>
      </c>
      <c r="G28" s="28">
        <f>IF($C28="","",IF(AND($E28&lt;&gt;"Applied",$E28&lt;&gt;""),"-",IF($H28="Yes","Followed up",IF(TODAY()&gt;$F28,"Overdue by "&amp;(TODAY()-$F28)&amp;IF(TODAY()-$F28=1," day"," days"),IF(TODAY()=$F28,"Follow up today","Due in "&amp;($F28-TODAY())&amp;IF($F28-TODAY()=1," day"," days"))))))</f>
        <v/>
      </c>
      <c r="H28" s="25" t="n"/>
      <c r="I28" s="25" t="n"/>
      <c r="J28" s="25" t="n"/>
      <c r="K28" s="25" t="n"/>
    </row>
    <row r="29" ht="18" customHeight="1">
      <c r="A29" s="25" t="n"/>
      <c r="B29" s="25" t="n"/>
      <c r="C29" s="26" t="n"/>
      <c r="D29" s="25" t="n"/>
      <c r="E29" s="25" t="n"/>
      <c r="F29" s="27">
        <f>IF($C29="","",$C29+7)</f>
        <v/>
      </c>
      <c r="G29" s="28">
        <f>IF($C29="","",IF(AND($E29&lt;&gt;"Applied",$E29&lt;&gt;""),"-",IF($H29="Yes","Followed up",IF(TODAY()&gt;$F29,"Overdue by "&amp;(TODAY()-$F29)&amp;IF(TODAY()-$F29=1," day"," days"),IF(TODAY()=$F29,"Follow up today","Due in "&amp;($F29-TODAY())&amp;IF($F29-TODAY()=1," day"," days"))))))</f>
        <v/>
      </c>
      <c r="H29" s="25" t="n"/>
      <c r="I29" s="25" t="n"/>
      <c r="J29" s="25" t="n"/>
      <c r="K29" s="25" t="n"/>
    </row>
    <row r="30" ht="18" customHeight="1">
      <c r="A30" s="25" t="n"/>
      <c r="B30" s="25" t="n"/>
      <c r="C30" s="26" t="n"/>
      <c r="D30" s="25" t="n"/>
      <c r="E30" s="25" t="n"/>
      <c r="F30" s="27">
        <f>IF($C30="","",$C30+7)</f>
        <v/>
      </c>
      <c r="G30" s="28">
        <f>IF($C30="","",IF(AND($E30&lt;&gt;"Applied",$E30&lt;&gt;""),"-",IF($H30="Yes","Followed up",IF(TODAY()&gt;$F30,"Overdue by "&amp;(TODAY()-$F30)&amp;IF(TODAY()-$F30=1," day"," days"),IF(TODAY()=$F30,"Follow up today","Due in "&amp;($F30-TODAY())&amp;IF($F30-TODAY()=1," day"," days"))))))</f>
        <v/>
      </c>
      <c r="H30" s="25" t="n"/>
      <c r="I30" s="25" t="n"/>
      <c r="J30" s="25" t="n"/>
      <c r="K30" s="25" t="n"/>
    </row>
    <row r="31" ht="18" customHeight="1">
      <c r="A31" s="25" t="n"/>
      <c r="B31" s="25" t="n"/>
      <c r="C31" s="26" t="n"/>
      <c r="D31" s="25" t="n"/>
      <c r="E31" s="25" t="n"/>
      <c r="F31" s="27">
        <f>IF($C31="","",$C31+7)</f>
        <v/>
      </c>
      <c r="G31" s="28">
        <f>IF($C31="","",IF(AND($E31&lt;&gt;"Applied",$E31&lt;&gt;""),"-",IF($H31="Yes","Followed up",IF(TODAY()&gt;$F31,"Overdue by "&amp;(TODAY()-$F31)&amp;IF(TODAY()-$F31=1," day"," days"),IF(TODAY()=$F31,"Follow up today","Due in "&amp;($F31-TODAY())&amp;IF($F31-TODAY()=1," day"," days"))))))</f>
        <v/>
      </c>
      <c r="H31" s="25" t="n"/>
      <c r="I31" s="25" t="n"/>
      <c r="J31" s="25" t="n"/>
      <c r="K31" s="25" t="n"/>
    </row>
    <row r="32" ht="18" customHeight="1">
      <c r="A32" s="25" t="n"/>
      <c r="B32" s="25" t="n"/>
      <c r="C32" s="26" t="n"/>
      <c r="D32" s="25" t="n"/>
      <c r="E32" s="25" t="n"/>
      <c r="F32" s="27">
        <f>IF($C32="","",$C32+7)</f>
        <v/>
      </c>
      <c r="G32" s="28">
        <f>IF($C32="","",IF(AND($E32&lt;&gt;"Applied",$E32&lt;&gt;""),"-",IF($H32="Yes","Followed up",IF(TODAY()&gt;$F32,"Overdue by "&amp;(TODAY()-$F32)&amp;IF(TODAY()-$F32=1," day"," days"),IF(TODAY()=$F32,"Follow up today","Due in "&amp;($F32-TODAY())&amp;IF($F32-TODAY()=1," day"," days"))))))</f>
        <v/>
      </c>
      <c r="H32" s="25" t="n"/>
      <c r="I32" s="25" t="n"/>
      <c r="J32" s="25" t="n"/>
      <c r="K32" s="25" t="n"/>
    </row>
    <row r="33" ht="18" customHeight="1">
      <c r="A33" s="25" t="n"/>
      <c r="B33" s="25" t="n"/>
      <c r="C33" s="26" t="n"/>
      <c r="D33" s="25" t="n"/>
      <c r="E33" s="25" t="n"/>
      <c r="F33" s="27">
        <f>IF($C33="","",$C33+7)</f>
        <v/>
      </c>
      <c r="G33" s="28">
        <f>IF($C33="","",IF(AND($E33&lt;&gt;"Applied",$E33&lt;&gt;""),"-",IF($H33="Yes","Followed up",IF(TODAY()&gt;$F33,"Overdue by "&amp;(TODAY()-$F33)&amp;IF(TODAY()-$F33=1," day"," days"),IF(TODAY()=$F33,"Follow up today","Due in "&amp;($F33-TODAY())&amp;IF($F33-TODAY()=1," day"," days"))))))</f>
        <v/>
      </c>
      <c r="H33" s="25" t="n"/>
      <c r="I33" s="25" t="n"/>
      <c r="J33" s="25" t="n"/>
      <c r="K33" s="25" t="n"/>
    </row>
    <row r="34" ht="18" customHeight="1">
      <c r="A34" s="25" t="n"/>
      <c r="B34" s="25" t="n"/>
      <c r="C34" s="26" t="n"/>
      <c r="D34" s="25" t="n"/>
      <c r="E34" s="25" t="n"/>
      <c r="F34" s="27">
        <f>IF($C34="","",$C34+7)</f>
        <v/>
      </c>
      <c r="G34" s="28">
        <f>IF($C34="","",IF(AND($E34&lt;&gt;"Applied",$E34&lt;&gt;""),"-",IF($H34="Yes","Followed up",IF(TODAY()&gt;$F34,"Overdue by "&amp;(TODAY()-$F34)&amp;IF(TODAY()-$F34=1," day"," days"),IF(TODAY()=$F34,"Follow up today","Due in "&amp;($F34-TODAY())&amp;IF($F34-TODAY()=1," day"," days"))))))</f>
        <v/>
      </c>
      <c r="H34" s="25" t="n"/>
      <c r="I34" s="25" t="n"/>
      <c r="J34" s="25" t="n"/>
      <c r="K34" s="25" t="n"/>
    </row>
    <row r="35" ht="18" customHeight="1">
      <c r="A35" s="25" t="n"/>
      <c r="B35" s="25" t="n"/>
      <c r="C35" s="26" t="n"/>
      <c r="D35" s="25" t="n"/>
      <c r="E35" s="25" t="n"/>
      <c r="F35" s="27">
        <f>IF($C35="","",$C35+7)</f>
        <v/>
      </c>
      <c r="G35" s="28">
        <f>IF($C35="","",IF(AND($E35&lt;&gt;"Applied",$E35&lt;&gt;""),"-",IF($H35="Yes","Followed up",IF(TODAY()&gt;$F35,"Overdue by "&amp;(TODAY()-$F35)&amp;IF(TODAY()-$F35=1," day"," days"),IF(TODAY()=$F35,"Follow up today","Due in "&amp;($F35-TODAY())&amp;IF($F35-TODAY()=1," day"," days"))))))</f>
        <v/>
      </c>
      <c r="H35" s="25" t="n"/>
      <c r="I35" s="25" t="n"/>
      <c r="J35" s="25" t="n"/>
      <c r="K35" s="25" t="n"/>
    </row>
    <row r="36" ht="18" customHeight="1">
      <c r="A36" s="25" t="n"/>
      <c r="B36" s="25" t="n"/>
      <c r="C36" s="26" t="n"/>
      <c r="D36" s="25" t="n"/>
      <c r="E36" s="25" t="n"/>
      <c r="F36" s="27">
        <f>IF($C36="","",$C36+7)</f>
        <v/>
      </c>
      <c r="G36" s="28">
        <f>IF($C36="","",IF(AND($E36&lt;&gt;"Applied",$E36&lt;&gt;""),"-",IF($H36="Yes","Followed up",IF(TODAY()&gt;$F36,"Overdue by "&amp;(TODAY()-$F36)&amp;IF(TODAY()-$F36=1," day"," days"),IF(TODAY()=$F36,"Follow up today","Due in "&amp;($F36-TODAY())&amp;IF($F36-TODAY()=1," day"," days"))))))</f>
        <v/>
      </c>
      <c r="H36" s="25" t="n"/>
      <c r="I36" s="25" t="n"/>
      <c r="J36" s="25" t="n"/>
      <c r="K36" s="25" t="n"/>
    </row>
    <row r="37" ht="18" customHeight="1">
      <c r="A37" s="25" t="n"/>
      <c r="B37" s="25" t="n"/>
      <c r="C37" s="26" t="n"/>
      <c r="D37" s="25" t="n"/>
      <c r="E37" s="25" t="n"/>
      <c r="F37" s="27">
        <f>IF($C37="","",$C37+7)</f>
        <v/>
      </c>
      <c r="G37" s="28">
        <f>IF($C37="","",IF(AND($E37&lt;&gt;"Applied",$E37&lt;&gt;""),"-",IF($H37="Yes","Followed up",IF(TODAY()&gt;$F37,"Overdue by "&amp;(TODAY()-$F37)&amp;IF(TODAY()-$F37=1," day"," days"),IF(TODAY()=$F37,"Follow up today","Due in "&amp;($F37-TODAY())&amp;IF($F37-TODAY()=1," day"," days"))))))</f>
        <v/>
      </c>
      <c r="H37" s="25" t="n"/>
      <c r="I37" s="25" t="n"/>
      <c r="J37" s="25" t="n"/>
      <c r="K37" s="25" t="n"/>
    </row>
    <row r="38" ht="18" customHeight="1">
      <c r="A38" s="25" t="n"/>
      <c r="B38" s="25" t="n"/>
      <c r="C38" s="26" t="n"/>
      <c r="D38" s="25" t="n"/>
      <c r="E38" s="25" t="n"/>
      <c r="F38" s="27">
        <f>IF($C38="","",$C38+7)</f>
        <v/>
      </c>
      <c r="G38" s="28">
        <f>IF($C38="","",IF(AND($E38&lt;&gt;"Applied",$E38&lt;&gt;""),"-",IF($H38="Yes","Followed up",IF(TODAY()&gt;$F38,"Overdue by "&amp;(TODAY()-$F38)&amp;IF(TODAY()-$F38=1," day"," days"),IF(TODAY()=$F38,"Follow up today","Due in "&amp;($F38-TODAY())&amp;IF($F38-TODAY()=1," day"," days"))))))</f>
        <v/>
      </c>
      <c r="H38" s="25" t="n"/>
      <c r="I38" s="25" t="n"/>
      <c r="J38" s="25" t="n"/>
      <c r="K38" s="25" t="n"/>
    </row>
    <row r="39" ht="18" customHeight="1">
      <c r="A39" s="25" t="n"/>
      <c r="B39" s="25" t="n"/>
      <c r="C39" s="26" t="n"/>
      <c r="D39" s="25" t="n"/>
      <c r="E39" s="25" t="n"/>
      <c r="F39" s="27">
        <f>IF($C39="","",$C39+7)</f>
        <v/>
      </c>
      <c r="G39" s="28">
        <f>IF($C39="","",IF(AND($E39&lt;&gt;"Applied",$E39&lt;&gt;""),"-",IF($H39="Yes","Followed up",IF(TODAY()&gt;$F39,"Overdue by "&amp;(TODAY()-$F39)&amp;IF(TODAY()-$F39=1," day"," days"),IF(TODAY()=$F39,"Follow up today","Due in "&amp;($F39-TODAY())&amp;IF($F39-TODAY()=1," day"," days"))))))</f>
        <v/>
      </c>
      <c r="H39" s="25" t="n"/>
      <c r="I39" s="25" t="n"/>
      <c r="J39" s="25" t="n"/>
      <c r="K39" s="25" t="n"/>
    </row>
    <row r="40" ht="18" customHeight="1">
      <c r="A40" s="25" t="n"/>
      <c r="B40" s="25" t="n"/>
      <c r="C40" s="26" t="n"/>
      <c r="D40" s="25" t="n"/>
      <c r="E40" s="25" t="n"/>
      <c r="F40" s="27">
        <f>IF($C40="","",$C40+7)</f>
        <v/>
      </c>
      <c r="G40" s="28">
        <f>IF($C40="","",IF(AND($E40&lt;&gt;"Applied",$E40&lt;&gt;""),"-",IF($H40="Yes","Followed up",IF(TODAY()&gt;$F40,"Overdue by "&amp;(TODAY()-$F40)&amp;IF(TODAY()-$F40=1," day"," days"),IF(TODAY()=$F40,"Follow up today","Due in "&amp;($F40-TODAY())&amp;IF($F40-TODAY()=1," day"," days"))))))</f>
        <v/>
      </c>
      <c r="H40" s="25" t="n"/>
      <c r="I40" s="25" t="n"/>
      <c r="J40" s="25" t="n"/>
      <c r="K40" s="25" t="n"/>
    </row>
    <row r="41" ht="18" customHeight="1">
      <c r="A41" s="25" t="n"/>
      <c r="B41" s="25" t="n"/>
      <c r="C41" s="26" t="n"/>
      <c r="D41" s="25" t="n"/>
      <c r="E41" s="25" t="n"/>
      <c r="F41" s="27">
        <f>IF($C41="","",$C41+7)</f>
        <v/>
      </c>
      <c r="G41" s="28">
        <f>IF($C41="","",IF(AND($E41&lt;&gt;"Applied",$E41&lt;&gt;""),"-",IF($H41="Yes","Followed up",IF(TODAY()&gt;$F41,"Overdue by "&amp;(TODAY()-$F41)&amp;IF(TODAY()-$F41=1," day"," days"),IF(TODAY()=$F41,"Follow up today","Due in "&amp;($F41-TODAY())&amp;IF($F41-TODAY()=1," day"," days"))))))</f>
        <v/>
      </c>
      <c r="H41" s="25" t="n"/>
      <c r="I41" s="25" t="n"/>
      <c r="J41" s="25" t="n"/>
      <c r="K41" s="25" t="n"/>
    </row>
    <row r="42" ht="18" customHeight="1">
      <c r="A42" s="25" t="n"/>
      <c r="B42" s="25" t="n"/>
      <c r="C42" s="26" t="n"/>
      <c r="D42" s="25" t="n"/>
      <c r="E42" s="25" t="n"/>
      <c r="F42" s="27">
        <f>IF($C42="","",$C42+7)</f>
        <v/>
      </c>
      <c r="G42" s="28">
        <f>IF($C42="","",IF(AND($E42&lt;&gt;"Applied",$E42&lt;&gt;""),"-",IF($H42="Yes","Followed up",IF(TODAY()&gt;$F42,"Overdue by "&amp;(TODAY()-$F42)&amp;IF(TODAY()-$F42=1," day"," days"),IF(TODAY()=$F42,"Follow up today","Due in "&amp;($F42-TODAY())&amp;IF($F42-TODAY()=1," day"," days"))))))</f>
        <v/>
      </c>
      <c r="H42" s="25" t="n"/>
      <c r="I42" s="25" t="n"/>
      <c r="J42" s="25" t="n"/>
      <c r="K42" s="25" t="n"/>
    </row>
    <row r="43" ht="18" customHeight="1">
      <c r="A43" s="25" t="n"/>
      <c r="B43" s="25" t="n"/>
      <c r="C43" s="26" t="n"/>
      <c r="D43" s="25" t="n"/>
      <c r="E43" s="25" t="n"/>
      <c r="F43" s="27">
        <f>IF($C43="","",$C43+7)</f>
        <v/>
      </c>
      <c r="G43" s="28">
        <f>IF($C43="","",IF(AND($E43&lt;&gt;"Applied",$E43&lt;&gt;""),"-",IF($H43="Yes","Followed up",IF(TODAY()&gt;$F43,"Overdue by "&amp;(TODAY()-$F43)&amp;IF(TODAY()-$F43=1," day"," days"),IF(TODAY()=$F43,"Follow up today","Due in "&amp;($F43-TODAY())&amp;IF($F43-TODAY()=1," day"," days"))))))</f>
        <v/>
      </c>
      <c r="H43" s="25" t="n"/>
      <c r="I43" s="25" t="n"/>
      <c r="J43" s="25" t="n"/>
      <c r="K43" s="25" t="n"/>
    </row>
    <row r="44" ht="18" customHeight="1">
      <c r="A44" s="25" t="n"/>
      <c r="B44" s="25" t="n"/>
      <c r="C44" s="26" t="n"/>
      <c r="D44" s="25" t="n"/>
      <c r="E44" s="25" t="n"/>
      <c r="F44" s="27">
        <f>IF($C44="","",$C44+7)</f>
        <v/>
      </c>
      <c r="G44" s="28">
        <f>IF($C44="","",IF(AND($E44&lt;&gt;"Applied",$E44&lt;&gt;""),"-",IF($H44="Yes","Followed up",IF(TODAY()&gt;$F44,"Overdue by "&amp;(TODAY()-$F44)&amp;IF(TODAY()-$F44=1," day"," days"),IF(TODAY()=$F44,"Follow up today","Due in "&amp;($F44-TODAY())&amp;IF($F44-TODAY()=1," day"," days"))))))</f>
        <v/>
      </c>
      <c r="H44" s="25" t="n"/>
      <c r="I44" s="25" t="n"/>
      <c r="J44" s="25" t="n"/>
      <c r="K44" s="25" t="n"/>
    </row>
    <row r="45" ht="18" customHeight="1">
      <c r="A45" s="25" t="n"/>
      <c r="B45" s="25" t="n"/>
      <c r="C45" s="26" t="n"/>
      <c r="D45" s="25" t="n"/>
      <c r="E45" s="25" t="n"/>
      <c r="F45" s="27">
        <f>IF($C45="","",$C45+7)</f>
        <v/>
      </c>
      <c r="G45" s="28">
        <f>IF($C45="","",IF(AND($E45&lt;&gt;"Applied",$E45&lt;&gt;""),"-",IF($H45="Yes","Followed up",IF(TODAY()&gt;$F45,"Overdue by "&amp;(TODAY()-$F45)&amp;IF(TODAY()-$F45=1," day"," days"),IF(TODAY()=$F45,"Follow up today","Due in "&amp;($F45-TODAY())&amp;IF($F45-TODAY()=1," day"," days"))))))</f>
        <v/>
      </c>
      <c r="H45" s="25" t="n"/>
      <c r="I45" s="25" t="n"/>
      <c r="J45" s="25" t="n"/>
      <c r="K45" s="25" t="n"/>
    </row>
    <row r="46" ht="18" customHeight="1">
      <c r="A46" s="25" t="n"/>
      <c r="B46" s="25" t="n"/>
      <c r="C46" s="26" t="n"/>
      <c r="D46" s="25" t="n"/>
      <c r="E46" s="25" t="n"/>
      <c r="F46" s="27">
        <f>IF($C46="","",$C46+7)</f>
        <v/>
      </c>
      <c r="G46" s="28">
        <f>IF($C46="","",IF(AND($E46&lt;&gt;"Applied",$E46&lt;&gt;""),"-",IF($H46="Yes","Followed up",IF(TODAY()&gt;$F46,"Overdue by "&amp;(TODAY()-$F46)&amp;IF(TODAY()-$F46=1," day"," days"),IF(TODAY()=$F46,"Follow up today","Due in "&amp;($F46-TODAY())&amp;IF($F46-TODAY()=1," day"," days"))))))</f>
        <v/>
      </c>
      <c r="H46" s="25" t="n"/>
      <c r="I46" s="25" t="n"/>
      <c r="J46" s="25" t="n"/>
      <c r="K46" s="25" t="n"/>
    </row>
    <row r="47" ht="18" customHeight="1">
      <c r="A47" s="25" t="n"/>
      <c r="B47" s="25" t="n"/>
      <c r="C47" s="26" t="n"/>
      <c r="D47" s="25" t="n"/>
      <c r="E47" s="25" t="n"/>
      <c r="F47" s="27">
        <f>IF($C47="","",$C47+7)</f>
        <v/>
      </c>
      <c r="G47" s="28">
        <f>IF($C47="","",IF(AND($E47&lt;&gt;"Applied",$E47&lt;&gt;""),"-",IF($H47="Yes","Followed up",IF(TODAY()&gt;$F47,"Overdue by "&amp;(TODAY()-$F47)&amp;IF(TODAY()-$F47=1," day"," days"),IF(TODAY()=$F47,"Follow up today","Due in "&amp;($F47-TODAY())&amp;IF($F47-TODAY()=1," day"," days"))))))</f>
        <v/>
      </c>
      <c r="H47" s="25" t="n"/>
      <c r="I47" s="25" t="n"/>
      <c r="J47" s="25" t="n"/>
      <c r="K47" s="25" t="n"/>
    </row>
    <row r="48" ht="18" customHeight="1">
      <c r="A48" s="25" t="n"/>
      <c r="B48" s="25" t="n"/>
      <c r="C48" s="26" t="n"/>
      <c r="D48" s="25" t="n"/>
      <c r="E48" s="25" t="n"/>
      <c r="F48" s="27">
        <f>IF($C48="","",$C48+7)</f>
        <v/>
      </c>
      <c r="G48" s="28">
        <f>IF($C48="","",IF(AND($E48&lt;&gt;"Applied",$E48&lt;&gt;""),"-",IF($H48="Yes","Followed up",IF(TODAY()&gt;$F48,"Overdue by "&amp;(TODAY()-$F48)&amp;IF(TODAY()-$F48=1," day"," days"),IF(TODAY()=$F48,"Follow up today","Due in "&amp;($F48-TODAY())&amp;IF($F48-TODAY()=1," day"," days"))))))</f>
        <v/>
      </c>
      <c r="H48" s="25" t="n"/>
      <c r="I48" s="25" t="n"/>
      <c r="J48" s="25" t="n"/>
      <c r="K48" s="25" t="n"/>
    </row>
    <row r="49" ht="18" customHeight="1">
      <c r="A49" s="25" t="n"/>
      <c r="B49" s="25" t="n"/>
      <c r="C49" s="26" t="n"/>
      <c r="D49" s="25" t="n"/>
      <c r="E49" s="25" t="n"/>
      <c r="F49" s="27">
        <f>IF($C49="","",$C49+7)</f>
        <v/>
      </c>
      <c r="G49" s="28">
        <f>IF($C49="","",IF(AND($E49&lt;&gt;"Applied",$E49&lt;&gt;""),"-",IF($H49="Yes","Followed up",IF(TODAY()&gt;$F49,"Overdue by "&amp;(TODAY()-$F49)&amp;IF(TODAY()-$F49=1," day"," days"),IF(TODAY()=$F49,"Follow up today","Due in "&amp;($F49-TODAY())&amp;IF($F49-TODAY()=1," day"," days"))))))</f>
        <v/>
      </c>
      <c r="H49" s="25" t="n"/>
      <c r="I49" s="25" t="n"/>
      <c r="J49" s="25" t="n"/>
      <c r="K49" s="25" t="n"/>
    </row>
    <row r="50" ht="18" customHeight="1">
      <c r="A50" s="25" t="n"/>
      <c r="B50" s="25" t="n"/>
      <c r="C50" s="26" t="n"/>
      <c r="D50" s="25" t="n"/>
      <c r="E50" s="25" t="n"/>
      <c r="F50" s="27">
        <f>IF($C50="","",$C50+7)</f>
        <v/>
      </c>
      <c r="G50" s="28">
        <f>IF($C50="","",IF(AND($E50&lt;&gt;"Applied",$E50&lt;&gt;""),"-",IF($H50="Yes","Followed up",IF(TODAY()&gt;$F50,"Overdue by "&amp;(TODAY()-$F50)&amp;IF(TODAY()-$F50=1," day"," days"),IF(TODAY()=$F50,"Follow up today","Due in "&amp;($F50-TODAY())&amp;IF($F50-TODAY()=1," day"," days"))))))</f>
        <v/>
      </c>
      <c r="H50" s="25" t="n"/>
      <c r="I50" s="25" t="n"/>
      <c r="J50" s="25" t="n"/>
      <c r="K50" s="25" t="n"/>
    </row>
    <row r="51" ht="18" customHeight="1">
      <c r="A51" s="25" t="n"/>
      <c r="B51" s="25" t="n"/>
      <c r="C51" s="26" t="n"/>
      <c r="D51" s="25" t="n"/>
      <c r="E51" s="25" t="n"/>
      <c r="F51" s="27">
        <f>IF($C51="","",$C51+7)</f>
        <v/>
      </c>
      <c r="G51" s="28">
        <f>IF($C51="","",IF(AND($E51&lt;&gt;"Applied",$E51&lt;&gt;""),"-",IF($H51="Yes","Followed up",IF(TODAY()&gt;$F51,"Overdue by "&amp;(TODAY()-$F51)&amp;IF(TODAY()-$F51=1," day"," days"),IF(TODAY()=$F51,"Follow up today","Due in "&amp;($F51-TODAY())&amp;IF($F51-TODAY()=1," day"," days"))))))</f>
        <v/>
      </c>
      <c r="H51" s="25" t="n"/>
      <c r="I51" s="25" t="n"/>
      <c r="J51" s="25" t="n"/>
      <c r="K51" s="25" t="n"/>
    </row>
    <row r="52" ht="18" customHeight="1">
      <c r="A52" s="25" t="n"/>
      <c r="B52" s="25" t="n"/>
      <c r="C52" s="26" t="n"/>
      <c r="D52" s="25" t="n"/>
      <c r="E52" s="25" t="n"/>
      <c r="F52" s="27">
        <f>IF($C52="","",$C52+7)</f>
        <v/>
      </c>
      <c r="G52" s="28">
        <f>IF($C52="","",IF(AND($E52&lt;&gt;"Applied",$E52&lt;&gt;""),"-",IF($H52="Yes","Followed up",IF(TODAY()&gt;$F52,"Overdue by "&amp;(TODAY()-$F52)&amp;IF(TODAY()-$F52=1," day"," days"),IF(TODAY()=$F52,"Follow up today","Due in "&amp;($F52-TODAY())&amp;IF($F52-TODAY()=1," day"," days"))))))</f>
        <v/>
      </c>
      <c r="H52" s="25" t="n"/>
      <c r="I52" s="25" t="n"/>
      <c r="J52" s="25" t="n"/>
      <c r="K52" s="25" t="n"/>
    </row>
    <row r="53" ht="18" customHeight="1">
      <c r="A53" s="25" t="n"/>
      <c r="B53" s="25" t="n"/>
      <c r="C53" s="26" t="n"/>
      <c r="D53" s="25" t="n"/>
      <c r="E53" s="25" t="n"/>
      <c r="F53" s="27">
        <f>IF($C53="","",$C53+7)</f>
        <v/>
      </c>
      <c r="G53" s="28">
        <f>IF($C53="","",IF(AND($E53&lt;&gt;"Applied",$E53&lt;&gt;""),"-",IF($H53="Yes","Followed up",IF(TODAY()&gt;$F53,"Overdue by "&amp;(TODAY()-$F53)&amp;IF(TODAY()-$F53=1," day"," days"),IF(TODAY()=$F53,"Follow up today","Due in "&amp;($F53-TODAY())&amp;IF($F53-TODAY()=1," day"," days"))))))</f>
        <v/>
      </c>
      <c r="H53" s="25" t="n"/>
      <c r="I53" s="25" t="n"/>
      <c r="J53" s="25" t="n"/>
      <c r="K53" s="25" t="n"/>
    </row>
    <row r="54" ht="18" customHeight="1">
      <c r="A54" s="25" t="n"/>
      <c r="B54" s="25" t="n"/>
      <c r="C54" s="26" t="n"/>
      <c r="D54" s="25" t="n"/>
      <c r="E54" s="25" t="n"/>
      <c r="F54" s="27">
        <f>IF($C54="","",$C54+7)</f>
        <v/>
      </c>
      <c r="G54" s="28">
        <f>IF($C54="","",IF(AND($E54&lt;&gt;"Applied",$E54&lt;&gt;""),"-",IF($H54="Yes","Followed up",IF(TODAY()&gt;$F54,"Overdue by "&amp;(TODAY()-$F54)&amp;IF(TODAY()-$F54=1," day"," days"),IF(TODAY()=$F54,"Follow up today","Due in "&amp;($F54-TODAY())&amp;IF($F54-TODAY()=1," day"," days"))))))</f>
        <v/>
      </c>
      <c r="H54" s="25" t="n"/>
      <c r="I54" s="25" t="n"/>
      <c r="J54" s="25" t="n"/>
      <c r="K54" s="25" t="n"/>
    </row>
    <row r="55" ht="18" customHeight="1">
      <c r="A55" s="25" t="n"/>
      <c r="B55" s="25" t="n"/>
      <c r="C55" s="26" t="n"/>
      <c r="D55" s="25" t="n"/>
      <c r="E55" s="25" t="n"/>
      <c r="F55" s="27">
        <f>IF($C55="","",$C55+7)</f>
        <v/>
      </c>
      <c r="G55" s="28">
        <f>IF($C55="","",IF(AND($E55&lt;&gt;"Applied",$E55&lt;&gt;""),"-",IF($H55="Yes","Followed up",IF(TODAY()&gt;$F55,"Overdue by "&amp;(TODAY()-$F55)&amp;IF(TODAY()-$F55=1," day"," days"),IF(TODAY()=$F55,"Follow up today","Due in "&amp;($F55-TODAY())&amp;IF($F55-TODAY()=1," day"," days"))))))</f>
        <v/>
      </c>
      <c r="H55" s="25" t="n"/>
      <c r="I55" s="25" t="n"/>
      <c r="J55" s="25" t="n"/>
      <c r="K55" s="25" t="n"/>
    </row>
    <row r="56" ht="18" customHeight="1">
      <c r="A56" s="25" t="n"/>
      <c r="B56" s="25" t="n"/>
      <c r="C56" s="26" t="n"/>
      <c r="D56" s="25" t="n"/>
      <c r="E56" s="25" t="n"/>
      <c r="F56" s="27">
        <f>IF($C56="","",$C56+7)</f>
        <v/>
      </c>
      <c r="G56" s="28">
        <f>IF($C56="","",IF(AND($E56&lt;&gt;"Applied",$E56&lt;&gt;""),"-",IF($H56="Yes","Followed up",IF(TODAY()&gt;$F56,"Overdue by "&amp;(TODAY()-$F56)&amp;IF(TODAY()-$F56=1," day"," days"),IF(TODAY()=$F56,"Follow up today","Due in "&amp;($F56-TODAY())&amp;IF($F56-TODAY()=1," day"," days"))))))</f>
        <v/>
      </c>
      <c r="H56" s="25" t="n"/>
      <c r="I56" s="25" t="n"/>
      <c r="J56" s="25" t="n"/>
      <c r="K56" s="25" t="n"/>
    </row>
    <row r="57" ht="18" customHeight="1">
      <c r="A57" s="25" t="n"/>
      <c r="B57" s="25" t="n"/>
      <c r="C57" s="26" t="n"/>
      <c r="D57" s="25" t="n"/>
      <c r="E57" s="25" t="n"/>
      <c r="F57" s="27">
        <f>IF($C57="","",$C57+7)</f>
        <v/>
      </c>
      <c r="G57" s="28">
        <f>IF($C57="","",IF(AND($E57&lt;&gt;"Applied",$E57&lt;&gt;""),"-",IF($H57="Yes","Followed up",IF(TODAY()&gt;$F57,"Overdue by "&amp;(TODAY()-$F57)&amp;IF(TODAY()-$F57=1," day"," days"),IF(TODAY()=$F57,"Follow up today","Due in "&amp;($F57-TODAY())&amp;IF($F57-TODAY()=1," day"," days"))))))</f>
        <v/>
      </c>
      <c r="H57" s="25" t="n"/>
      <c r="I57" s="25" t="n"/>
      <c r="J57" s="25" t="n"/>
      <c r="K57" s="25" t="n"/>
    </row>
    <row r="58" ht="18" customHeight="1">
      <c r="A58" s="25" t="n"/>
      <c r="B58" s="25" t="n"/>
      <c r="C58" s="26" t="n"/>
      <c r="D58" s="25" t="n"/>
      <c r="E58" s="25" t="n"/>
      <c r="F58" s="27">
        <f>IF($C58="","",$C58+7)</f>
        <v/>
      </c>
      <c r="G58" s="28">
        <f>IF($C58="","",IF(AND($E58&lt;&gt;"Applied",$E58&lt;&gt;""),"-",IF($H58="Yes","Followed up",IF(TODAY()&gt;$F58,"Overdue by "&amp;(TODAY()-$F58)&amp;IF(TODAY()-$F58=1," day"," days"),IF(TODAY()=$F58,"Follow up today","Due in "&amp;($F58-TODAY())&amp;IF($F58-TODAY()=1," day"," days"))))))</f>
        <v/>
      </c>
      <c r="H58" s="25" t="n"/>
      <c r="I58" s="25" t="n"/>
      <c r="J58" s="25" t="n"/>
      <c r="K58" s="25" t="n"/>
    </row>
    <row r="59" ht="18" customHeight="1">
      <c r="A59" s="25" t="n"/>
      <c r="B59" s="25" t="n"/>
      <c r="C59" s="26" t="n"/>
      <c r="D59" s="25" t="n"/>
      <c r="E59" s="25" t="n"/>
      <c r="F59" s="27">
        <f>IF($C59="","",$C59+7)</f>
        <v/>
      </c>
      <c r="G59" s="28">
        <f>IF($C59="","",IF(AND($E59&lt;&gt;"Applied",$E59&lt;&gt;""),"-",IF($H59="Yes","Followed up",IF(TODAY()&gt;$F59,"Overdue by "&amp;(TODAY()-$F59)&amp;IF(TODAY()-$F59=1," day"," days"),IF(TODAY()=$F59,"Follow up today","Due in "&amp;($F59-TODAY())&amp;IF($F59-TODAY()=1," day"," days"))))))</f>
        <v/>
      </c>
      <c r="H59" s="25" t="n"/>
      <c r="I59" s="25" t="n"/>
      <c r="J59" s="25" t="n"/>
      <c r="K59" s="25" t="n"/>
    </row>
    <row r="60" ht="18" customHeight="1">
      <c r="A60" s="25" t="n"/>
      <c r="B60" s="25" t="n"/>
      <c r="C60" s="26" t="n"/>
      <c r="D60" s="25" t="n"/>
      <c r="E60" s="25" t="n"/>
      <c r="F60" s="27">
        <f>IF($C60="","",$C60+7)</f>
        <v/>
      </c>
      <c r="G60" s="28">
        <f>IF($C60="","",IF(AND($E60&lt;&gt;"Applied",$E60&lt;&gt;""),"-",IF($H60="Yes","Followed up",IF(TODAY()&gt;$F60,"Overdue by "&amp;(TODAY()-$F60)&amp;IF(TODAY()-$F60=1," day"," days"),IF(TODAY()=$F60,"Follow up today","Due in "&amp;($F60-TODAY())&amp;IF($F60-TODAY()=1," day"," days"))))))</f>
        <v/>
      </c>
      <c r="H60" s="25" t="n"/>
      <c r="I60" s="25" t="n"/>
      <c r="J60" s="25" t="n"/>
      <c r="K60" s="25" t="n"/>
    </row>
    <row r="61" ht="18" customHeight="1">
      <c r="A61" s="25" t="n"/>
      <c r="B61" s="25" t="n"/>
      <c r="C61" s="26" t="n"/>
      <c r="D61" s="25" t="n"/>
      <c r="E61" s="25" t="n"/>
      <c r="F61" s="27">
        <f>IF($C61="","",$C61+7)</f>
        <v/>
      </c>
      <c r="G61" s="28">
        <f>IF($C61="","",IF(AND($E61&lt;&gt;"Applied",$E61&lt;&gt;""),"-",IF($H61="Yes","Followed up",IF(TODAY()&gt;$F61,"Overdue by "&amp;(TODAY()-$F61)&amp;IF(TODAY()-$F61=1," day"," days"),IF(TODAY()=$F61,"Follow up today","Due in "&amp;($F61-TODAY())&amp;IF($F61-TODAY()=1," day"," days"))))))</f>
        <v/>
      </c>
      <c r="H61" s="25" t="n"/>
      <c r="I61" s="25" t="n"/>
      <c r="J61" s="25" t="n"/>
      <c r="K61" s="25" t="n"/>
    </row>
    <row r="62" ht="18" customHeight="1">
      <c r="A62" s="25" t="n"/>
      <c r="B62" s="25" t="n"/>
      <c r="C62" s="26" t="n"/>
      <c r="D62" s="25" t="n"/>
      <c r="E62" s="25" t="n"/>
      <c r="F62" s="27">
        <f>IF($C62="","",$C62+7)</f>
        <v/>
      </c>
      <c r="G62" s="28">
        <f>IF($C62="","",IF(AND($E62&lt;&gt;"Applied",$E62&lt;&gt;""),"-",IF($H62="Yes","Followed up",IF(TODAY()&gt;$F62,"Overdue by "&amp;(TODAY()-$F62)&amp;IF(TODAY()-$F62=1," day"," days"),IF(TODAY()=$F62,"Follow up today","Due in "&amp;($F62-TODAY())&amp;IF($F62-TODAY()=1," day"," days"))))))</f>
        <v/>
      </c>
      <c r="H62" s="25" t="n"/>
      <c r="I62" s="25" t="n"/>
      <c r="J62" s="25" t="n"/>
      <c r="K62" s="25" t="n"/>
    </row>
    <row r="63" ht="18" customHeight="1">
      <c r="A63" s="25" t="n"/>
      <c r="B63" s="25" t="n"/>
      <c r="C63" s="26" t="n"/>
      <c r="D63" s="25" t="n"/>
      <c r="E63" s="25" t="n"/>
      <c r="F63" s="27">
        <f>IF($C63="","",$C63+7)</f>
        <v/>
      </c>
      <c r="G63" s="28">
        <f>IF($C63="","",IF(AND($E63&lt;&gt;"Applied",$E63&lt;&gt;""),"-",IF($H63="Yes","Followed up",IF(TODAY()&gt;$F63,"Overdue by "&amp;(TODAY()-$F63)&amp;IF(TODAY()-$F63=1," day"," days"),IF(TODAY()=$F63,"Follow up today","Due in "&amp;($F63-TODAY())&amp;IF($F63-TODAY()=1," day"," days"))))))</f>
        <v/>
      </c>
      <c r="H63" s="25" t="n"/>
      <c r="I63" s="25" t="n"/>
      <c r="J63" s="25" t="n"/>
      <c r="K63" s="25" t="n"/>
    </row>
    <row r="64" ht="18" customHeight="1">
      <c r="A64" s="25" t="n"/>
      <c r="B64" s="25" t="n"/>
      <c r="C64" s="26" t="n"/>
      <c r="D64" s="25" t="n"/>
      <c r="E64" s="25" t="n"/>
      <c r="F64" s="27">
        <f>IF($C64="","",$C64+7)</f>
        <v/>
      </c>
      <c r="G64" s="28">
        <f>IF($C64="","",IF(AND($E64&lt;&gt;"Applied",$E64&lt;&gt;""),"-",IF($H64="Yes","Followed up",IF(TODAY()&gt;$F64,"Overdue by "&amp;(TODAY()-$F64)&amp;IF(TODAY()-$F64=1," day"," days"),IF(TODAY()=$F64,"Follow up today","Due in "&amp;($F64-TODAY())&amp;IF($F64-TODAY()=1," day"," days"))))))</f>
        <v/>
      </c>
      <c r="H64" s="25" t="n"/>
      <c r="I64" s="25" t="n"/>
      <c r="J64" s="25" t="n"/>
      <c r="K64" s="25" t="n"/>
    </row>
    <row r="65" ht="18" customHeight="1">
      <c r="A65" s="25" t="n"/>
      <c r="B65" s="25" t="n"/>
      <c r="C65" s="26" t="n"/>
      <c r="D65" s="25" t="n"/>
      <c r="E65" s="25" t="n"/>
      <c r="F65" s="27">
        <f>IF($C65="","",$C65+7)</f>
        <v/>
      </c>
      <c r="G65" s="28">
        <f>IF($C65="","",IF(AND($E65&lt;&gt;"Applied",$E65&lt;&gt;""),"-",IF($H65="Yes","Followed up",IF(TODAY()&gt;$F65,"Overdue by "&amp;(TODAY()-$F65)&amp;IF(TODAY()-$F65=1," day"," days"),IF(TODAY()=$F65,"Follow up today","Due in "&amp;($F65-TODAY())&amp;IF($F65-TODAY()=1," day"," days"))))))</f>
        <v/>
      </c>
      <c r="H65" s="25" t="n"/>
      <c r="I65" s="25" t="n"/>
      <c r="J65" s="25" t="n"/>
      <c r="K65" s="25" t="n"/>
    </row>
    <row r="66" ht="18" customHeight="1">
      <c r="A66" s="25" t="n"/>
      <c r="B66" s="25" t="n"/>
      <c r="C66" s="26" t="n"/>
      <c r="D66" s="25" t="n"/>
      <c r="E66" s="25" t="n"/>
      <c r="F66" s="27">
        <f>IF($C66="","",$C66+7)</f>
        <v/>
      </c>
      <c r="G66" s="28">
        <f>IF($C66="","",IF(AND($E66&lt;&gt;"Applied",$E66&lt;&gt;""),"-",IF($H66="Yes","Followed up",IF(TODAY()&gt;$F66,"Overdue by "&amp;(TODAY()-$F66)&amp;IF(TODAY()-$F66=1," day"," days"),IF(TODAY()=$F66,"Follow up today","Due in "&amp;($F66-TODAY())&amp;IF($F66-TODAY()=1," day"," days"))))))</f>
        <v/>
      </c>
      <c r="H66" s="25" t="n"/>
      <c r="I66" s="25" t="n"/>
      <c r="J66" s="25" t="n"/>
      <c r="K66" s="25" t="n"/>
    </row>
    <row r="67" ht="18" customHeight="1">
      <c r="A67" s="25" t="n"/>
      <c r="B67" s="25" t="n"/>
      <c r="C67" s="26" t="n"/>
      <c r="D67" s="25" t="n"/>
      <c r="E67" s="25" t="n"/>
      <c r="F67" s="27">
        <f>IF($C67="","",$C67+7)</f>
        <v/>
      </c>
      <c r="G67" s="28">
        <f>IF($C67="","",IF(AND($E67&lt;&gt;"Applied",$E67&lt;&gt;""),"-",IF($H67="Yes","Followed up",IF(TODAY()&gt;$F67,"Overdue by "&amp;(TODAY()-$F67)&amp;IF(TODAY()-$F67=1," day"," days"),IF(TODAY()=$F67,"Follow up today","Due in "&amp;($F67-TODAY())&amp;IF($F67-TODAY()=1," day"," days"))))))</f>
        <v/>
      </c>
      <c r="H67" s="25" t="n"/>
      <c r="I67" s="25" t="n"/>
      <c r="J67" s="25" t="n"/>
      <c r="K67" s="25" t="n"/>
    </row>
    <row r="68" ht="18" customHeight="1">
      <c r="A68" s="25" t="n"/>
      <c r="B68" s="25" t="n"/>
      <c r="C68" s="26" t="n"/>
      <c r="D68" s="25" t="n"/>
      <c r="E68" s="25" t="n"/>
      <c r="F68" s="27">
        <f>IF($C68="","",$C68+7)</f>
        <v/>
      </c>
      <c r="G68" s="28">
        <f>IF($C68="","",IF(AND($E68&lt;&gt;"Applied",$E68&lt;&gt;""),"-",IF($H68="Yes","Followed up",IF(TODAY()&gt;$F68,"Overdue by "&amp;(TODAY()-$F68)&amp;IF(TODAY()-$F68=1," day"," days"),IF(TODAY()=$F68,"Follow up today","Due in "&amp;($F68-TODAY())&amp;IF($F68-TODAY()=1," day"," days"))))))</f>
        <v/>
      </c>
      <c r="H68" s="25" t="n"/>
      <c r="I68" s="25" t="n"/>
      <c r="J68" s="25" t="n"/>
      <c r="K68" s="25" t="n"/>
    </row>
    <row r="69" ht="18" customHeight="1">
      <c r="A69" s="25" t="n"/>
      <c r="B69" s="25" t="n"/>
      <c r="C69" s="26" t="n"/>
      <c r="D69" s="25" t="n"/>
      <c r="E69" s="25" t="n"/>
      <c r="F69" s="27">
        <f>IF($C69="","",$C69+7)</f>
        <v/>
      </c>
      <c r="G69" s="28">
        <f>IF($C69="","",IF(AND($E69&lt;&gt;"Applied",$E69&lt;&gt;""),"-",IF($H69="Yes","Followed up",IF(TODAY()&gt;$F69,"Overdue by "&amp;(TODAY()-$F69)&amp;IF(TODAY()-$F69=1," day"," days"),IF(TODAY()=$F69,"Follow up today","Due in "&amp;($F69-TODAY())&amp;IF($F69-TODAY()=1," day"," days"))))))</f>
        <v/>
      </c>
      <c r="H69" s="25" t="n"/>
      <c r="I69" s="25" t="n"/>
      <c r="J69" s="25" t="n"/>
      <c r="K69" s="25" t="n"/>
    </row>
    <row r="70" ht="18" customHeight="1">
      <c r="A70" s="25" t="n"/>
      <c r="B70" s="25" t="n"/>
      <c r="C70" s="26" t="n"/>
      <c r="D70" s="25" t="n"/>
      <c r="E70" s="25" t="n"/>
      <c r="F70" s="27">
        <f>IF($C70="","",$C70+7)</f>
        <v/>
      </c>
      <c r="G70" s="28">
        <f>IF($C70="","",IF(AND($E70&lt;&gt;"Applied",$E70&lt;&gt;""),"-",IF($H70="Yes","Followed up",IF(TODAY()&gt;$F70,"Overdue by "&amp;(TODAY()-$F70)&amp;IF(TODAY()-$F70=1," day"," days"),IF(TODAY()=$F70,"Follow up today","Due in "&amp;($F70-TODAY())&amp;IF($F70-TODAY()=1," day"," days"))))))</f>
        <v/>
      </c>
      <c r="H70" s="25" t="n"/>
      <c r="I70" s="25" t="n"/>
      <c r="J70" s="25" t="n"/>
      <c r="K70" s="25" t="n"/>
    </row>
    <row r="71" ht="18" customHeight="1">
      <c r="A71" s="25" t="n"/>
      <c r="B71" s="25" t="n"/>
      <c r="C71" s="26" t="n"/>
      <c r="D71" s="25" t="n"/>
      <c r="E71" s="25" t="n"/>
      <c r="F71" s="27">
        <f>IF($C71="","",$C71+7)</f>
        <v/>
      </c>
      <c r="G71" s="28">
        <f>IF($C71="","",IF(AND($E71&lt;&gt;"Applied",$E71&lt;&gt;""),"-",IF($H71="Yes","Followed up",IF(TODAY()&gt;$F71,"Overdue by "&amp;(TODAY()-$F71)&amp;IF(TODAY()-$F71=1," day"," days"),IF(TODAY()=$F71,"Follow up today","Due in "&amp;($F71-TODAY())&amp;IF($F71-TODAY()=1," day"," days"))))))</f>
        <v/>
      </c>
      <c r="H71" s="25" t="n"/>
      <c r="I71" s="25" t="n"/>
      <c r="J71" s="25" t="n"/>
      <c r="K71" s="25" t="n"/>
    </row>
    <row r="72" ht="18" customHeight="1">
      <c r="A72" s="25" t="n"/>
      <c r="B72" s="25" t="n"/>
      <c r="C72" s="26" t="n"/>
      <c r="D72" s="25" t="n"/>
      <c r="E72" s="25" t="n"/>
      <c r="F72" s="27">
        <f>IF($C72="","",$C72+7)</f>
        <v/>
      </c>
      <c r="G72" s="28">
        <f>IF($C72="","",IF(AND($E72&lt;&gt;"Applied",$E72&lt;&gt;""),"-",IF($H72="Yes","Followed up",IF(TODAY()&gt;$F72,"Overdue by "&amp;(TODAY()-$F72)&amp;IF(TODAY()-$F72=1," day"," days"),IF(TODAY()=$F72,"Follow up today","Due in "&amp;($F72-TODAY())&amp;IF($F72-TODAY()=1," day"," days"))))))</f>
        <v/>
      </c>
      <c r="H72" s="25" t="n"/>
      <c r="I72" s="25" t="n"/>
      <c r="J72" s="25" t="n"/>
      <c r="K72" s="25" t="n"/>
    </row>
    <row r="73" ht="18" customHeight="1">
      <c r="A73" s="25" t="n"/>
      <c r="B73" s="25" t="n"/>
      <c r="C73" s="26" t="n"/>
      <c r="D73" s="25" t="n"/>
      <c r="E73" s="25" t="n"/>
      <c r="F73" s="27">
        <f>IF($C73="","",$C73+7)</f>
        <v/>
      </c>
      <c r="G73" s="28">
        <f>IF($C73="","",IF(AND($E73&lt;&gt;"Applied",$E73&lt;&gt;""),"-",IF($H73="Yes","Followed up",IF(TODAY()&gt;$F73,"Overdue by "&amp;(TODAY()-$F73)&amp;IF(TODAY()-$F73=1," day"," days"),IF(TODAY()=$F73,"Follow up today","Due in "&amp;($F73-TODAY())&amp;IF($F73-TODAY()=1," day"," days"))))))</f>
        <v/>
      </c>
      <c r="H73" s="25" t="n"/>
      <c r="I73" s="25" t="n"/>
      <c r="J73" s="25" t="n"/>
      <c r="K73" s="25" t="n"/>
    </row>
    <row r="74" ht="18" customHeight="1">
      <c r="A74" s="25" t="n"/>
      <c r="B74" s="25" t="n"/>
      <c r="C74" s="26" t="n"/>
      <c r="D74" s="25" t="n"/>
      <c r="E74" s="25" t="n"/>
      <c r="F74" s="27">
        <f>IF($C74="","",$C74+7)</f>
        <v/>
      </c>
      <c r="G74" s="28">
        <f>IF($C74="","",IF(AND($E74&lt;&gt;"Applied",$E74&lt;&gt;""),"-",IF($H74="Yes","Followed up",IF(TODAY()&gt;$F74,"Overdue by "&amp;(TODAY()-$F74)&amp;IF(TODAY()-$F74=1," day"," days"),IF(TODAY()=$F74,"Follow up today","Due in "&amp;($F74-TODAY())&amp;IF($F74-TODAY()=1," day"," days"))))))</f>
        <v/>
      </c>
      <c r="H74" s="25" t="n"/>
      <c r="I74" s="25" t="n"/>
      <c r="J74" s="25" t="n"/>
      <c r="K74" s="25" t="n"/>
    </row>
    <row r="75" ht="18" customHeight="1">
      <c r="A75" s="25" t="n"/>
      <c r="B75" s="25" t="n"/>
      <c r="C75" s="26" t="n"/>
      <c r="D75" s="25" t="n"/>
      <c r="E75" s="25" t="n"/>
      <c r="F75" s="27">
        <f>IF($C75="","",$C75+7)</f>
        <v/>
      </c>
      <c r="G75" s="28">
        <f>IF($C75="","",IF(AND($E75&lt;&gt;"Applied",$E75&lt;&gt;""),"-",IF($H75="Yes","Followed up",IF(TODAY()&gt;$F75,"Overdue by "&amp;(TODAY()-$F75)&amp;IF(TODAY()-$F75=1," day"," days"),IF(TODAY()=$F75,"Follow up today","Due in "&amp;($F75-TODAY())&amp;IF($F75-TODAY()=1," day"," days"))))))</f>
        <v/>
      </c>
      <c r="H75" s="25" t="n"/>
      <c r="I75" s="25" t="n"/>
      <c r="J75" s="25" t="n"/>
      <c r="K75" s="25" t="n"/>
    </row>
    <row r="76" ht="18" customHeight="1">
      <c r="A76" s="25" t="n"/>
      <c r="B76" s="25" t="n"/>
      <c r="C76" s="26" t="n"/>
      <c r="D76" s="25" t="n"/>
      <c r="E76" s="25" t="n"/>
      <c r="F76" s="27">
        <f>IF($C76="","",$C76+7)</f>
        <v/>
      </c>
      <c r="G76" s="28">
        <f>IF($C76="","",IF(AND($E76&lt;&gt;"Applied",$E76&lt;&gt;""),"-",IF($H76="Yes","Followed up",IF(TODAY()&gt;$F76,"Overdue by "&amp;(TODAY()-$F76)&amp;IF(TODAY()-$F76=1," day"," days"),IF(TODAY()=$F76,"Follow up today","Due in "&amp;($F76-TODAY())&amp;IF($F76-TODAY()=1," day"," days"))))))</f>
        <v/>
      </c>
      <c r="H76" s="25" t="n"/>
      <c r="I76" s="25" t="n"/>
      <c r="J76" s="25" t="n"/>
      <c r="K76" s="25" t="n"/>
    </row>
    <row r="77" ht="18" customHeight="1">
      <c r="A77" s="25" t="n"/>
      <c r="B77" s="25" t="n"/>
      <c r="C77" s="26" t="n"/>
      <c r="D77" s="25" t="n"/>
      <c r="E77" s="25" t="n"/>
      <c r="F77" s="27">
        <f>IF($C77="","",$C77+7)</f>
        <v/>
      </c>
      <c r="G77" s="28">
        <f>IF($C77="","",IF(AND($E77&lt;&gt;"Applied",$E77&lt;&gt;""),"-",IF($H77="Yes","Followed up",IF(TODAY()&gt;$F77,"Overdue by "&amp;(TODAY()-$F77)&amp;IF(TODAY()-$F77=1," day"," days"),IF(TODAY()=$F77,"Follow up today","Due in "&amp;($F77-TODAY())&amp;IF($F77-TODAY()=1," day"," days"))))))</f>
        <v/>
      </c>
      <c r="H77" s="25" t="n"/>
      <c r="I77" s="25" t="n"/>
      <c r="J77" s="25" t="n"/>
      <c r="K77" s="25" t="n"/>
    </row>
    <row r="78" ht="18" customHeight="1">
      <c r="A78" s="25" t="n"/>
      <c r="B78" s="25" t="n"/>
      <c r="C78" s="26" t="n"/>
      <c r="D78" s="25" t="n"/>
      <c r="E78" s="25" t="n"/>
      <c r="F78" s="27">
        <f>IF($C78="","",$C78+7)</f>
        <v/>
      </c>
      <c r="G78" s="28">
        <f>IF($C78="","",IF(AND($E78&lt;&gt;"Applied",$E78&lt;&gt;""),"-",IF($H78="Yes","Followed up",IF(TODAY()&gt;$F78,"Overdue by "&amp;(TODAY()-$F78)&amp;IF(TODAY()-$F78=1," day"," days"),IF(TODAY()=$F78,"Follow up today","Due in "&amp;($F78-TODAY())&amp;IF($F78-TODAY()=1," day"," days"))))))</f>
        <v/>
      </c>
      <c r="H78" s="25" t="n"/>
      <c r="I78" s="25" t="n"/>
      <c r="J78" s="25" t="n"/>
      <c r="K78" s="25" t="n"/>
    </row>
    <row r="79" ht="18" customHeight="1">
      <c r="A79" s="25" t="n"/>
      <c r="B79" s="25" t="n"/>
      <c r="C79" s="26" t="n"/>
      <c r="D79" s="25" t="n"/>
      <c r="E79" s="25" t="n"/>
      <c r="F79" s="27">
        <f>IF($C79="","",$C79+7)</f>
        <v/>
      </c>
      <c r="G79" s="28">
        <f>IF($C79="","",IF(AND($E79&lt;&gt;"Applied",$E79&lt;&gt;""),"-",IF($H79="Yes","Followed up",IF(TODAY()&gt;$F79,"Overdue by "&amp;(TODAY()-$F79)&amp;IF(TODAY()-$F79=1," day"," days"),IF(TODAY()=$F79,"Follow up today","Due in "&amp;($F79-TODAY())&amp;IF($F79-TODAY()=1," day"," days"))))))</f>
        <v/>
      </c>
      <c r="H79" s="25" t="n"/>
      <c r="I79" s="25" t="n"/>
      <c r="J79" s="25" t="n"/>
      <c r="K79" s="25" t="n"/>
    </row>
    <row r="80" ht="18" customHeight="1">
      <c r="A80" s="25" t="n"/>
      <c r="B80" s="25" t="n"/>
      <c r="C80" s="26" t="n"/>
      <c r="D80" s="25" t="n"/>
      <c r="E80" s="25" t="n"/>
      <c r="F80" s="27">
        <f>IF($C80="","",$C80+7)</f>
        <v/>
      </c>
      <c r="G80" s="28">
        <f>IF($C80="","",IF(AND($E80&lt;&gt;"Applied",$E80&lt;&gt;""),"-",IF($H80="Yes","Followed up",IF(TODAY()&gt;$F80,"Overdue by "&amp;(TODAY()-$F80)&amp;IF(TODAY()-$F80=1," day"," days"),IF(TODAY()=$F80,"Follow up today","Due in "&amp;($F80-TODAY())&amp;IF($F80-TODAY()=1," day"," days"))))))</f>
        <v/>
      </c>
      <c r="H80" s="25" t="n"/>
      <c r="I80" s="25" t="n"/>
      <c r="J80" s="25" t="n"/>
      <c r="K80" s="25" t="n"/>
    </row>
    <row r="81" ht="18" customHeight="1">
      <c r="A81" s="25" t="n"/>
      <c r="B81" s="25" t="n"/>
      <c r="C81" s="26" t="n"/>
      <c r="D81" s="25" t="n"/>
      <c r="E81" s="25" t="n"/>
      <c r="F81" s="27">
        <f>IF($C81="","",$C81+7)</f>
        <v/>
      </c>
      <c r="G81" s="28">
        <f>IF($C81="","",IF(AND($E81&lt;&gt;"Applied",$E81&lt;&gt;""),"-",IF($H81="Yes","Followed up",IF(TODAY()&gt;$F81,"Overdue by "&amp;(TODAY()-$F81)&amp;IF(TODAY()-$F81=1," day"," days"),IF(TODAY()=$F81,"Follow up today","Due in "&amp;($F81-TODAY())&amp;IF($F81-TODAY()=1," day"," days"))))))</f>
        <v/>
      </c>
      <c r="H81" s="25" t="n"/>
      <c r="I81" s="25" t="n"/>
      <c r="J81" s="25" t="n"/>
      <c r="K81" s="25" t="n"/>
    </row>
    <row r="82" ht="18" customHeight="1">
      <c r="A82" s="25" t="n"/>
      <c r="B82" s="25" t="n"/>
      <c r="C82" s="26" t="n"/>
      <c r="D82" s="25" t="n"/>
      <c r="E82" s="25" t="n"/>
      <c r="F82" s="27">
        <f>IF($C82="","",$C82+7)</f>
        <v/>
      </c>
      <c r="G82" s="28">
        <f>IF($C82="","",IF(AND($E82&lt;&gt;"Applied",$E82&lt;&gt;""),"-",IF($H82="Yes","Followed up",IF(TODAY()&gt;$F82,"Overdue by "&amp;(TODAY()-$F82)&amp;IF(TODAY()-$F82=1," day"," days"),IF(TODAY()=$F82,"Follow up today","Due in "&amp;($F82-TODAY())&amp;IF($F82-TODAY()=1," day"," days"))))))</f>
        <v/>
      </c>
      <c r="H82" s="25" t="n"/>
      <c r="I82" s="25" t="n"/>
      <c r="J82" s="25" t="n"/>
      <c r="K82" s="25" t="n"/>
    </row>
    <row r="83" ht="18" customHeight="1">
      <c r="A83" s="25" t="n"/>
      <c r="B83" s="25" t="n"/>
      <c r="C83" s="26" t="n"/>
      <c r="D83" s="25" t="n"/>
      <c r="E83" s="25" t="n"/>
      <c r="F83" s="27">
        <f>IF($C83="","",$C83+7)</f>
        <v/>
      </c>
      <c r="G83" s="28">
        <f>IF($C83="","",IF(AND($E83&lt;&gt;"Applied",$E83&lt;&gt;""),"-",IF($H83="Yes","Followed up",IF(TODAY()&gt;$F83,"Overdue by "&amp;(TODAY()-$F83)&amp;IF(TODAY()-$F83=1," day"," days"),IF(TODAY()=$F83,"Follow up today","Due in "&amp;($F83-TODAY())&amp;IF($F83-TODAY()=1," day"," days"))))))</f>
        <v/>
      </c>
      <c r="H83" s="25" t="n"/>
      <c r="I83" s="25" t="n"/>
      <c r="J83" s="25" t="n"/>
      <c r="K83" s="25" t="n"/>
    </row>
    <row r="84" ht="18" customHeight="1">
      <c r="A84" s="25" t="n"/>
      <c r="B84" s="25" t="n"/>
      <c r="C84" s="26" t="n"/>
      <c r="D84" s="25" t="n"/>
      <c r="E84" s="25" t="n"/>
      <c r="F84" s="27">
        <f>IF($C84="","",$C84+7)</f>
        <v/>
      </c>
      <c r="G84" s="28">
        <f>IF($C84="","",IF(AND($E84&lt;&gt;"Applied",$E84&lt;&gt;""),"-",IF($H84="Yes","Followed up",IF(TODAY()&gt;$F84,"Overdue by "&amp;(TODAY()-$F84)&amp;IF(TODAY()-$F84=1," day"," days"),IF(TODAY()=$F84,"Follow up today","Due in "&amp;($F84-TODAY())&amp;IF($F84-TODAY()=1," day"," days"))))))</f>
        <v/>
      </c>
      <c r="H84" s="25" t="n"/>
      <c r="I84" s="25" t="n"/>
      <c r="J84" s="25" t="n"/>
      <c r="K84" s="25" t="n"/>
    </row>
    <row r="85" ht="18" customHeight="1">
      <c r="A85" s="25" t="n"/>
      <c r="B85" s="25" t="n"/>
      <c r="C85" s="26" t="n"/>
      <c r="D85" s="25" t="n"/>
      <c r="E85" s="25" t="n"/>
      <c r="F85" s="27">
        <f>IF($C85="","",$C85+7)</f>
        <v/>
      </c>
      <c r="G85" s="28">
        <f>IF($C85="","",IF(AND($E85&lt;&gt;"Applied",$E85&lt;&gt;""),"-",IF($H85="Yes","Followed up",IF(TODAY()&gt;$F85,"Overdue by "&amp;(TODAY()-$F85)&amp;IF(TODAY()-$F85=1," day"," days"),IF(TODAY()=$F85,"Follow up today","Due in "&amp;($F85-TODAY())&amp;IF($F85-TODAY()=1," day"," days"))))))</f>
        <v/>
      </c>
      <c r="H85" s="25" t="n"/>
      <c r="I85" s="25" t="n"/>
      <c r="J85" s="25" t="n"/>
      <c r="K85" s="25" t="n"/>
    </row>
    <row r="86" ht="18" customHeight="1">
      <c r="A86" s="25" t="n"/>
      <c r="B86" s="25" t="n"/>
      <c r="C86" s="26" t="n"/>
      <c r="D86" s="25" t="n"/>
      <c r="E86" s="25" t="n"/>
      <c r="F86" s="27">
        <f>IF($C86="","",$C86+7)</f>
        <v/>
      </c>
      <c r="G86" s="28">
        <f>IF($C86="","",IF(AND($E86&lt;&gt;"Applied",$E86&lt;&gt;""),"-",IF($H86="Yes","Followed up",IF(TODAY()&gt;$F86,"Overdue by "&amp;(TODAY()-$F86)&amp;IF(TODAY()-$F86=1," day"," days"),IF(TODAY()=$F86,"Follow up today","Due in "&amp;($F86-TODAY())&amp;IF($F86-TODAY()=1," day"," days"))))))</f>
        <v/>
      </c>
      <c r="H86" s="25" t="n"/>
      <c r="I86" s="25" t="n"/>
      <c r="J86" s="25" t="n"/>
      <c r="K86" s="25" t="n"/>
    </row>
    <row r="87" ht="18" customHeight="1">
      <c r="A87" s="25" t="n"/>
      <c r="B87" s="25" t="n"/>
      <c r="C87" s="26" t="n"/>
      <c r="D87" s="25" t="n"/>
      <c r="E87" s="25" t="n"/>
      <c r="F87" s="27">
        <f>IF($C87="","",$C87+7)</f>
        <v/>
      </c>
      <c r="G87" s="28">
        <f>IF($C87="","",IF(AND($E87&lt;&gt;"Applied",$E87&lt;&gt;""),"-",IF($H87="Yes","Followed up",IF(TODAY()&gt;$F87,"Overdue by "&amp;(TODAY()-$F87)&amp;IF(TODAY()-$F87=1," day"," days"),IF(TODAY()=$F87,"Follow up today","Due in "&amp;($F87-TODAY())&amp;IF($F87-TODAY()=1," day"," days"))))))</f>
        <v/>
      </c>
      <c r="H87" s="25" t="n"/>
      <c r="I87" s="25" t="n"/>
      <c r="J87" s="25" t="n"/>
      <c r="K87" s="25" t="n"/>
    </row>
    <row r="88" ht="18" customHeight="1">
      <c r="A88" s="25" t="n"/>
      <c r="B88" s="25" t="n"/>
      <c r="C88" s="26" t="n"/>
      <c r="D88" s="25" t="n"/>
      <c r="E88" s="25" t="n"/>
      <c r="F88" s="27">
        <f>IF($C88="","",$C88+7)</f>
        <v/>
      </c>
      <c r="G88" s="28">
        <f>IF($C88="","",IF(AND($E88&lt;&gt;"Applied",$E88&lt;&gt;""),"-",IF($H88="Yes","Followed up",IF(TODAY()&gt;$F88,"Overdue by "&amp;(TODAY()-$F88)&amp;IF(TODAY()-$F88=1," day"," days"),IF(TODAY()=$F88,"Follow up today","Due in "&amp;($F88-TODAY())&amp;IF($F88-TODAY()=1," day"," days"))))))</f>
        <v/>
      </c>
      <c r="H88" s="25" t="n"/>
      <c r="I88" s="25" t="n"/>
      <c r="J88" s="25" t="n"/>
      <c r="K88" s="25" t="n"/>
    </row>
    <row r="89" ht="18" customHeight="1">
      <c r="A89" s="25" t="n"/>
      <c r="B89" s="25" t="n"/>
      <c r="C89" s="26" t="n"/>
      <c r="D89" s="25" t="n"/>
      <c r="E89" s="25" t="n"/>
      <c r="F89" s="27">
        <f>IF($C89="","",$C89+7)</f>
        <v/>
      </c>
      <c r="G89" s="28">
        <f>IF($C89="","",IF(AND($E89&lt;&gt;"Applied",$E89&lt;&gt;""),"-",IF($H89="Yes","Followed up",IF(TODAY()&gt;$F89,"Overdue by "&amp;(TODAY()-$F89)&amp;IF(TODAY()-$F89=1," day"," days"),IF(TODAY()=$F89,"Follow up today","Due in "&amp;($F89-TODAY())&amp;IF($F89-TODAY()=1," day"," days"))))))</f>
        <v/>
      </c>
      <c r="H89" s="25" t="n"/>
      <c r="I89" s="25" t="n"/>
      <c r="J89" s="25" t="n"/>
      <c r="K89" s="25" t="n"/>
    </row>
    <row r="90" ht="18" customHeight="1">
      <c r="A90" s="25" t="n"/>
      <c r="B90" s="25" t="n"/>
      <c r="C90" s="26" t="n"/>
      <c r="D90" s="25" t="n"/>
      <c r="E90" s="25" t="n"/>
      <c r="F90" s="27">
        <f>IF($C90="","",$C90+7)</f>
        <v/>
      </c>
      <c r="G90" s="28">
        <f>IF($C90="","",IF(AND($E90&lt;&gt;"Applied",$E90&lt;&gt;""),"-",IF($H90="Yes","Followed up",IF(TODAY()&gt;$F90,"Overdue by "&amp;(TODAY()-$F90)&amp;IF(TODAY()-$F90=1," day"," days"),IF(TODAY()=$F90,"Follow up today","Due in "&amp;($F90-TODAY())&amp;IF($F90-TODAY()=1," day"," days"))))))</f>
        <v/>
      </c>
      <c r="H90" s="25" t="n"/>
      <c r="I90" s="25" t="n"/>
      <c r="J90" s="25" t="n"/>
      <c r="K90" s="25" t="n"/>
    </row>
    <row r="91" ht="18" customHeight="1">
      <c r="A91" s="25" t="n"/>
      <c r="B91" s="25" t="n"/>
      <c r="C91" s="26" t="n"/>
      <c r="D91" s="25" t="n"/>
      <c r="E91" s="25" t="n"/>
      <c r="F91" s="27">
        <f>IF($C91="","",$C91+7)</f>
        <v/>
      </c>
      <c r="G91" s="28">
        <f>IF($C91="","",IF(AND($E91&lt;&gt;"Applied",$E91&lt;&gt;""),"-",IF($H91="Yes","Followed up",IF(TODAY()&gt;$F91,"Overdue by "&amp;(TODAY()-$F91)&amp;IF(TODAY()-$F91=1," day"," days"),IF(TODAY()=$F91,"Follow up today","Due in "&amp;($F91-TODAY())&amp;IF($F91-TODAY()=1," day"," days"))))))</f>
        <v/>
      </c>
      <c r="H91" s="25" t="n"/>
      <c r="I91" s="25" t="n"/>
      <c r="J91" s="25" t="n"/>
      <c r="K91" s="25" t="n"/>
    </row>
    <row r="92" ht="18" customHeight="1">
      <c r="A92" s="25" t="n"/>
      <c r="B92" s="25" t="n"/>
      <c r="C92" s="26" t="n"/>
      <c r="D92" s="25" t="n"/>
      <c r="E92" s="25" t="n"/>
      <c r="F92" s="27">
        <f>IF($C92="","",$C92+7)</f>
        <v/>
      </c>
      <c r="G92" s="28">
        <f>IF($C92="","",IF(AND($E92&lt;&gt;"Applied",$E92&lt;&gt;""),"-",IF($H92="Yes","Followed up",IF(TODAY()&gt;$F92,"Overdue by "&amp;(TODAY()-$F92)&amp;IF(TODAY()-$F92=1," day"," days"),IF(TODAY()=$F92,"Follow up today","Due in "&amp;($F92-TODAY())&amp;IF($F92-TODAY()=1," day"," days"))))))</f>
        <v/>
      </c>
      <c r="H92" s="25" t="n"/>
      <c r="I92" s="25" t="n"/>
      <c r="J92" s="25" t="n"/>
      <c r="K92" s="25" t="n"/>
    </row>
    <row r="93" ht="18" customHeight="1">
      <c r="A93" s="25" t="n"/>
      <c r="B93" s="25" t="n"/>
      <c r="C93" s="26" t="n"/>
      <c r="D93" s="25" t="n"/>
      <c r="E93" s="25" t="n"/>
      <c r="F93" s="27">
        <f>IF($C93="","",$C93+7)</f>
        <v/>
      </c>
      <c r="G93" s="28">
        <f>IF($C93="","",IF(AND($E93&lt;&gt;"Applied",$E93&lt;&gt;""),"-",IF($H93="Yes","Followed up",IF(TODAY()&gt;$F93,"Overdue by "&amp;(TODAY()-$F93)&amp;IF(TODAY()-$F93=1," day"," days"),IF(TODAY()=$F93,"Follow up today","Due in "&amp;($F93-TODAY())&amp;IF($F93-TODAY()=1," day"," days"))))))</f>
        <v/>
      </c>
      <c r="H93" s="25" t="n"/>
      <c r="I93" s="25" t="n"/>
      <c r="J93" s="25" t="n"/>
      <c r="K93" s="25" t="n"/>
    </row>
    <row r="94" ht="18" customHeight="1">
      <c r="A94" s="25" t="n"/>
      <c r="B94" s="25" t="n"/>
      <c r="C94" s="26" t="n"/>
      <c r="D94" s="25" t="n"/>
      <c r="E94" s="25" t="n"/>
      <c r="F94" s="27">
        <f>IF($C94="","",$C94+7)</f>
        <v/>
      </c>
      <c r="G94" s="28">
        <f>IF($C94="","",IF(AND($E94&lt;&gt;"Applied",$E94&lt;&gt;""),"-",IF($H94="Yes","Followed up",IF(TODAY()&gt;$F94,"Overdue by "&amp;(TODAY()-$F94)&amp;IF(TODAY()-$F94=1," day"," days"),IF(TODAY()=$F94,"Follow up today","Due in "&amp;($F94-TODAY())&amp;IF($F94-TODAY()=1," day"," days"))))))</f>
        <v/>
      </c>
      <c r="H94" s="25" t="n"/>
      <c r="I94" s="25" t="n"/>
      <c r="J94" s="25" t="n"/>
      <c r="K94" s="25" t="n"/>
    </row>
    <row r="95" ht="18" customHeight="1">
      <c r="A95" s="25" t="n"/>
      <c r="B95" s="25" t="n"/>
      <c r="C95" s="26" t="n"/>
      <c r="D95" s="25" t="n"/>
      <c r="E95" s="25" t="n"/>
      <c r="F95" s="27">
        <f>IF($C95="","",$C95+7)</f>
        <v/>
      </c>
      <c r="G95" s="28">
        <f>IF($C95="","",IF(AND($E95&lt;&gt;"Applied",$E95&lt;&gt;""),"-",IF($H95="Yes","Followed up",IF(TODAY()&gt;$F95,"Overdue by "&amp;(TODAY()-$F95)&amp;IF(TODAY()-$F95=1," day"," days"),IF(TODAY()=$F95,"Follow up today","Due in "&amp;($F95-TODAY())&amp;IF($F95-TODAY()=1," day"," days"))))))</f>
        <v/>
      </c>
      <c r="H95" s="25" t="n"/>
      <c r="I95" s="25" t="n"/>
      <c r="J95" s="25" t="n"/>
      <c r="K95" s="25" t="n"/>
    </row>
    <row r="96" ht="18" customHeight="1">
      <c r="A96" s="25" t="n"/>
      <c r="B96" s="25" t="n"/>
      <c r="C96" s="26" t="n"/>
      <c r="D96" s="25" t="n"/>
      <c r="E96" s="25" t="n"/>
      <c r="F96" s="27">
        <f>IF($C96="","",$C96+7)</f>
        <v/>
      </c>
      <c r="G96" s="28">
        <f>IF($C96="","",IF(AND($E96&lt;&gt;"Applied",$E96&lt;&gt;""),"-",IF($H96="Yes","Followed up",IF(TODAY()&gt;$F96,"Overdue by "&amp;(TODAY()-$F96)&amp;IF(TODAY()-$F96=1," day"," days"),IF(TODAY()=$F96,"Follow up today","Due in "&amp;($F96-TODAY())&amp;IF($F96-TODAY()=1," day"," days"))))))</f>
        <v/>
      </c>
      <c r="H96" s="25" t="n"/>
      <c r="I96" s="25" t="n"/>
      <c r="J96" s="25" t="n"/>
      <c r="K96" s="25" t="n"/>
    </row>
    <row r="97" ht="18" customHeight="1">
      <c r="A97" s="25" t="n"/>
      <c r="B97" s="25" t="n"/>
      <c r="C97" s="26" t="n"/>
      <c r="D97" s="25" t="n"/>
      <c r="E97" s="25" t="n"/>
      <c r="F97" s="27">
        <f>IF($C97="","",$C97+7)</f>
        <v/>
      </c>
      <c r="G97" s="28">
        <f>IF($C97="","",IF(AND($E97&lt;&gt;"Applied",$E97&lt;&gt;""),"-",IF($H97="Yes","Followed up",IF(TODAY()&gt;$F97,"Overdue by "&amp;(TODAY()-$F97)&amp;IF(TODAY()-$F97=1," day"," days"),IF(TODAY()=$F97,"Follow up today","Due in "&amp;($F97-TODAY())&amp;IF($F97-TODAY()=1," day"," days"))))))</f>
        <v/>
      </c>
      <c r="H97" s="25" t="n"/>
      <c r="I97" s="25" t="n"/>
      <c r="J97" s="25" t="n"/>
      <c r="K97" s="25" t="n"/>
    </row>
    <row r="98" ht="18" customHeight="1">
      <c r="A98" s="25" t="n"/>
      <c r="B98" s="25" t="n"/>
      <c r="C98" s="26" t="n"/>
      <c r="D98" s="25" t="n"/>
      <c r="E98" s="25" t="n"/>
      <c r="F98" s="27">
        <f>IF($C98="","",$C98+7)</f>
        <v/>
      </c>
      <c r="G98" s="28">
        <f>IF($C98="","",IF(AND($E98&lt;&gt;"Applied",$E98&lt;&gt;""),"-",IF($H98="Yes","Followed up",IF(TODAY()&gt;$F98,"Overdue by "&amp;(TODAY()-$F98)&amp;IF(TODAY()-$F98=1," day"," days"),IF(TODAY()=$F98,"Follow up today","Due in "&amp;($F98-TODAY())&amp;IF($F98-TODAY()=1," day"," days"))))))</f>
        <v/>
      </c>
      <c r="H98" s="25" t="n"/>
      <c r="I98" s="25" t="n"/>
      <c r="J98" s="25" t="n"/>
      <c r="K98" s="25" t="n"/>
    </row>
    <row r="99" ht="18" customHeight="1">
      <c r="A99" s="25" t="n"/>
      <c r="B99" s="25" t="n"/>
      <c r="C99" s="26" t="n"/>
      <c r="D99" s="25" t="n"/>
      <c r="E99" s="25" t="n"/>
      <c r="F99" s="27">
        <f>IF($C99="","",$C99+7)</f>
        <v/>
      </c>
      <c r="G99" s="28">
        <f>IF($C99="","",IF(AND($E99&lt;&gt;"Applied",$E99&lt;&gt;""),"-",IF($H99="Yes","Followed up",IF(TODAY()&gt;$F99,"Overdue by "&amp;(TODAY()-$F99)&amp;IF(TODAY()-$F99=1," day"," days"),IF(TODAY()=$F99,"Follow up today","Due in "&amp;($F99-TODAY())&amp;IF($F99-TODAY()=1," day"," days"))))))</f>
        <v/>
      </c>
      <c r="H99" s="25" t="n"/>
      <c r="I99" s="25" t="n"/>
      <c r="J99" s="25" t="n"/>
      <c r="K99" s="25" t="n"/>
    </row>
    <row r="100" ht="18" customHeight="1">
      <c r="A100" s="25" t="n"/>
      <c r="B100" s="25" t="n"/>
      <c r="C100" s="26" t="n"/>
      <c r="D100" s="25" t="n"/>
      <c r="E100" s="25" t="n"/>
      <c r="F100" s="27">
        <f>IF($C100="","",$C100+7)</f>
        <v/>
      </c>
      <c r="G100" s="28">
        <f>IF($C100="","",IF(AND($E100&lt;&gt;"Applied",$E100&lt;&gt;""),"-",IF($H100="Yes","Followed up",IF(TODAY()&gt;$F100,"Overdue by "&amp;(TODAY()-$F100)&amp;IF(TODAY()-$F100=1," day"," days"),IF(TODAY()=$F100,"Follow up today","Due in "&amp;($F100-TODAY())&amp;IF($F100-TODAY()=1," day"," days"))))))</f>
        <v/>
      </c>
      <c r="H100" s="25" t="n"/>
      <c r="I100" s="25" t="n"/>
      <c r="J100" s="25" t="n"/>
      <c r="K100" s="25" t="n"/>
    </row>
    <row r="101" ht="18" customHeight="1">
      <c r="A101" s="25" t="n"/>
      <c r="B101" s="25" t="n"/>
      <c r="C101" s="26" t="n"/>
      <c r="D101" s="25" t="n"/>
      <c r="E101" s="25" t="n"/>
      <c r="F101" s="27">
        <f>IF($C101="","",$C101+7)</f>
        <v/>
      </c>
      <c r="G101" s="28">
        <f>IF($C101="","",IF(AND($E101&lt;&gt;"Applied",$E101&lt;&gt;""),"-",IF($H101="Yes","Followed up",IF(TODAY()&gt;$F101,"Overdue by "&amp;(TODAY()-$F101)&amp;IF(TODAY()-$F101=1," day"," days"),IF(TODAY()=$F101,"Follow up today","Due in "&amp;($F101-TODAY())&amp;IF($F101-TODAY()=1," day"," days"))))))</f>
        <v/>
      </c>
      <c r="H101" s="25" t="n"/>
      <c r="I101" s="25" t="n"/>
      <c r="J101" s="25" t="n"/>
      <c r="K101" s="25" t="n"/>
    </row>
    <row r="102" ht="18" customHeight="1">
      <c r="A102" s="25" t="n"/>
      <c r="B102" s="25" t="n"/>
      <c r="C102" s="26" t="n"/>
      <c r="D102" s="25" t="n"/>
      <c r="E102" s="25" t="n"/>
      <c r="F102" s="27">
        <f>IF($C102="","",$C102+7)</f>
        <v/>
      </c>
      <c r="G102" s="28">
        <f>IF($C102="","",IF(AND($E102&lt;&gt;"Applied",$E102&lt;&gt;""),"-",IF($H102="Yes","Followed up",IF(TODAY()&gt;$F102,"Overdue by "&amp;(TODAY()-$F102)&amp;IF(TODAY()-$F102=1," day"," days"),IF(TODAY()=$F102,"Follow up today","Due in "&amp;($F102-TODAY())&amp;IF($F102-TODAY()=1," day"," days"))))))</f>
        <v/>
      </c>
      <c r="H102" s="25" t="n"/>
      <c r="I102" s="25" t="n"/>
      <c r="J102" s="25" t="n"/>
      <c r="K102" s="25" t="n"/>
    </row>
    <row r="103" ht="18" customHeight="1">
      <c r="A103" s="25" t="n"/>
      <c r="B103" s="25" t="n"/>
      <c r="C103" s="26" t="n"/>
      <c r="D103" s="25" t="n"/>
      <c r="E103" s="25" t="n"/>
      <c r="F103" s="27">
        <f>IF($C103="","",$C103+7)</f>
        <v/>
      </c>
      <c r="G103" s="28">
        <f>IF($C103="","",IF(AND($E103&lt;&gt;"Applied",$E103&lt;&gt;""),"-",IF($H103="Yes","Followed up",IF(TODAY()&gt;$F103,"Overdue by "&amp;(TODAY()-$F103)&amp;IF(TODAY()-$F103=1," day"," days"),IF(TODAY()=$F103,"Follow up today","Due in "&amp;($F103-TODAY())&amp;IF($F103-TODAY()=1," day"," days"))))))</f>
        <v/>
      </c>
      <c r="H103" s="25" t="n"/>
      <c r="I103" s="25" t="n"/>
      <c r="J103" s="25" t="n"/>
      <c r="K103" s="25" t="n"/>
    </row>
    <row r="104" ht="18" customHeight="1">
      <c r="A104" s="25" t="n"/>
      <c r="B104" s="25" t="n"/>
      <c r="C104" s="26" t="n"/>
      <c r="D104" s="25" t="n"/>
      <c r="E104" s="25" t="n"/>
      <c r="F104" s="27">
        <f>IF($C104="","",$C104+7)</f>
        <v/>
      </c>
      <c r="G104" s="28">
        <f>IF($C104="","",IF(AND($E104&lt;&gt;"Applied",$E104&lt;&gt;""),"-",IF($H104="Yes","Followed up",IF(TODAY()&gt;$F104,"Overdue by "&amp;(TODAY()-$F104)&amp;IF(TODAY()-$F104=1," day"," days"),IF(TODAY()=$F104,"Follow up today","Due in "&amp;($F104-TODAY())&amp;IF($F104-TODAY()=1," day"," days"))))))</f>
        <v/>
      </c>
      <c r="H104" s="25" t="n"/>
      <c r="I104" s="25" t="n"/>
      <c r="J104" s="25" t="n"/>
      <c r="K104" s="25" t="n"/>
    </row>
    <row r="105" ht="18" customHeight="1">
      <c r="A105" s="25" t="n"/>
      <c r="B105" s="25" t="n"/>
      <c r="C105" s="26" t="n"/>
      <c r="D105" s="25" t="n"/>
      <c r="E105" s="25" t="n"/>
      <c r="F105" s="27">
        <f>IF($C105="","",$C105+7)</f>
        <v/>
      </c>
      <c r="G105" s="28">
        <f>IF($C105="","",IF(AND($E105&lt;&gt;"Applied",$E105&lt;&gt;""),"-",IF($H105="Yes","Followed up",IF(TODAY()&gt;$F105,"Overdue by "&amp;(TODAY()-$F105)&amp;IF(TODAY()-$F105=1," day"," days"),IF(TODAY()=$F105,"Follow up today","Due in "&amp;($F105-TODAY())&amp;IF($F105-TODAY()=1," day"," days"))))))</f>
        <v/>
      </c>
      <c r="H105" s="25" t="n"/>
      <c r="I105" s="25" t="n"/>
      <c r="J105" s="25" t="n"/>
      <c r="K105" s="25" t="n"/>
    </row>
    <row r="106" ht="18" customHeight="1">
      <c r="A106" s="25" t="n"/>
      <c r="B106" s="25" t="n"/>
      <c r="C106" s="26" t="n"/>
      <c r="D106" s="25" t="n"/>
      <c r="E106" s="25" t="n"/>
      <c r="F106" s="27">
        <f>IF($C106="","",$C106+7)</f>
        <v/>
      </c>
      <c r="G106" s="28">
        <f>IF($C106="","",IF(AND($E106&lt;&gt;"Applied",$E106&lt;&gt;""),"-",IF($H106="Yes","Followed up",IF(TODAY()&gt;$F106,"Overdue by "&amp;(TODAY()-$F106)&amp;IF(TODAY()-$F106=1," day"," days"),IF(TODAY()=$F106,"Follow up today","Due in "&amp;($F106-TODAY())&amp;IF($F106-TODAY()=1," day"," days"))))))</f>
        <v/>
      </c>
      <c r="H106" s="25" t="n"/>
      <c r="I106" s="25" t="n"/>
      <c r="J106" s="25" t="n"/>
      <c r="K106" s="25" t="n"/>
    </row>
    <row r="107" ht="18" customHeight="1">
      <c r="A107" s="25" t="n"/>
      <c r="B107" s="25" t="n"/>
      <c r="C107" s="26" t="n"/>
      <c r="D107" s="25" t="n"/>
      <c r="E107" s="25" t="n"/>
      <c r="F107" s="27">
        <f>IF($C107="","",$C107+7)</f>
        <v/>
      </c>
      <c r="G107" s="28">
        <f>IF($C107="","",IF(AND($E107&lt;&gt;"Applied",$E107&lt;&gt;""),"-",IF($H107="Yes","Followed up",IF(TODAY()&gt;$F107,"Overdue by "&amp;(TODAY()-$F107)&amp;IF(TODAY()-$F107=1," day"," days"),IF(TODAY()=$F107,"Follow up today","Due in "&amp;($F107-TODAY())&amp;IF($F107-TODAY()=1," day"," days"))))))</f>
        <v/>
      </c>
      <c r="H107" s="25" t="n"/>
      <c r="I107" s="25" t="n"/>
      <c r="J107" s="25" t="n"/>
      <c r="K107" s="25" t="n"/>
    </row>
    <row r="108" ht="18" customHeight="1">
      <c r="A108" s="25" t="n"/>
      <c r="B108" s="25" t="n"/>
      <c r="C108" s="26" t="n"/>
      <c r="D108" s="25" t="n"/>
      <c r="E108" s="25" t="n"/>
      <c r="F108" s="27">
        <f>IF($C108="","",$C108+7)</f>
        <v/>
      </c>
      <c r="G108" s="28">
        <f>IF($C108="","",IF(AND($E108&lt;&gt;"Applied",$E108&lt;&gt;""),"-",IF($H108="Yes","Followed up",IF(TODAY()&gt;$F108,"Overdue by "&amp;(TODAY()-$F108)&amp;IF(TODAY()-$F108=1," day"," days"),IF(TODAY()=$F108,"Follow up today","Due in "&amp;($F108-TODAY())&amp;IF($F108-TODAY()=1," day"," days"))))))</f>
        <v/>
      </c>
      <c r="H108" s="25" t="n"/>
      <c r="I108" s="25" t="n"/>
      <c r="J108" s="25" t="n"/>
      <c r="K108" s="25" t="n"/>
    </row>
    <row r="109" ht="18" customHeight="1">
      <c r="A109" s="25" t="n"/>
      <c r="B109" s="25" t="n"/>
      <c r="C109" s="26" t="n"/>
      <c r="D109" s="25" t="n"/>
      <c r="E109" s="25" t="n"/>
      <c r="F109" s="27">
        <f>IF($C109="","",$C109+7)</f>
        <v/>
      </c>
      <c r="G109" s="28">
        <f>IF($C109="","",IF(AND($E109&lt;&gt;"Applied",$E109&lt;&gt;""),"-",IF($H109="Yes","Followed up",IF(TODAY()&gt;$F109,"Overdue by "&amp;(TODAY()-$F109)&amp;IF(TODAY()-$F109=1," day"," days"),IF(TODAY()=$F109,"Follow up today","Due in "&amp;($F109-TODAY())&amp;IF($F109-TODAY()=1," day"," days"))))))</f>
        <v/>
      </c>
      <c r="H109" s="25" t="n"/>
      <c r="I109" s="25" t="n"/>
      <c r="J109" s="25" t="n"/>
      <c r="K109" s="25" t="n"/>
    </row>
    <row r="110" ht="18" customHeight="1">
      <c r="A110" s="25" t="n"/>
      <c r="B110" s="25" t="n"/>
      <c r="C110" s="26" t="n"/>
      <c r="D110" s="25" t="n"/>
      <c r="E110" s="25" t="n"/>
      <c r="F110" s="27">
        <f>IF($C110="","",$C110+7)</f>
        <v/>
      </c>
      <c r="G110" s="28">
        <f>IF($C110="","",IF(AND($E110&lt;&gt;"Applied",$E110&lt;&gt;""),"-",IF($H110="Yes","Followed up",IF(TODAY()&gt;$F110,"Overdue by "&amp;(TODAY()-$F110)&amp;IF(TODAY()-$F110=1," day"," days"),IF(TODAY()=$F110,"Follow up today","Due in "&amp;($F110-TODAY())&amp;IF($F110-TODAY()=1," day"," days"))))))</f>
        <v/>
      </c>
      <c r="H110" s="25" t="n"/>
      <c r="I110" s="25" t="n"/>
      <c r="J110" s="25" t="n"/>
      <c r="K110" s="25" t="n"/>
    </row>
    <row r="111" ht="18" customHeight="1">
      <c r="A111" s="25" t="n"/>
      <c r="B111" s="25" t="n"/>
      <c r="C111" s="26" t="n"/>
      <c r="D111" s="25" t="n"/>
      <c r="E111" s="25" t="n"/>
      <c r="F111" s="27">
        <f>IF($C111="","",$C111+7)</f>
        <v/>
      </c>
      <c r="G111" s="28">
        <f>IF($C111="","",IF(AND($E111&lt;&gt;"Applied",$E111&lt;&gt;""),"-",IF($H111="Yes","Followed up",IF(TODAY()&gt;$F111,"Overdue by "&amp;(TODAY()-$F111)&amp;IF(TODAY()-$F111=1," day"," days"),IF(TODAY()=$F111,"Follow up today","Due in "&amp;($F111-TODAY())&amp;IF($F111-TODAY()=1," day"," days"))))))</f>
        <v/>
      </c>
      <c r="H111" s="25" t="n"/>
      <c r="I111" s="25" t="n"/>
      <c r="J111" s="25" t="n"/>
      <c r="K111" s="25" t="n"/>
    </row>
    <row r="112" ht="18" customHeight="1">
      <c r="A112" s="25" t="n"/>
      <c r="B112" s="25" t="n"/>
      <c r="C112" s="26" t="n"/>
      <c r="D112" s="25" t="n"/>
      <c r="E112" s="25" t="n"/>
      <c r="F112" s="27">
        <f>IF($C112="","",$C112+7)</f>
        <v/>
      </c>
      <c r="G112" s="28">
        <f>IF($C112="","",IF(AND($E112&lt;&gt;"Applied",$E112&lt;&gt;""),"-",IF($H112="Yes","Followed up",IF(TODAY()&gt;$F112,"Overdue by "&amp;(TODAY()-$F112)&amp;IF(TODAY()-$F112=1," day"," days"),IF(TODAY()=$F112,"Follow up today","Due in "&amp;($F112-TODAY())&amp;IF($F112-TODAY()=1," day"," days"))))))</f>
        <v/>
      </c>
      <c r="H112" s="25" t="n"/>
      <c r="I112" s="25" t="n"/>
      <c r="J112" s="25" t="n"/>
      <c r="K112" s="25" t="n"/>
    </row>
    <row r="113" ht="18" customHeight="1">
      <c r="A113" s="25" t="n"/>
      <c r="B113" s="25" t="n"/>
      <c r="C113" s="26" t="n"/>
      <c r="D113" s="25" t="n"/>
      <c r="E113" s="25" t="n"/>
      <c r="F113" s="27">
        <f>IF($C113="","",$C113+7)</f>
        <v/>
      </c>
      <c r="G113" s="28">
        <f>IF($C113="","",IF(AND($E113&lt;&gt;"Applied",$E113&lt;&gt;""),"-",IF($H113="Yes","Followed up",IF(TODAY()&gt;$F113,"Overdue by "&amp;(TODAY()-$F113)&amp;IF(TODAY()-$F113=1," day"," days"),IF(TODAY()=$F113,"Follow up today","Due in "&amp;($F113-TODAY())&amp;IF($F113-TODAY()=1," day"," days"))))))</f>
        <v/>
      </c>
      <c r="H113" s="25" t="n"/>
      <c r="I113" s="25" t="n"/>
      <c r="J113" s="25" t="n"/>
      <c r="K113" s="25" t="n"/>
    </row>
    <row r="114" ht="18" customHeight="1">
      <c r="A114" s="25" t="n"/>
      <c r="B114" s="25" t="n"/>
      <c r="C114" s="26" t="n"/>
      <c r="D114" s="25" t="n"/>
      <c r="E114" s="25" t="n"/>
      <c r="F114" s="27">
        <f>IF($C114="","",$C114+7)</f>
        <v/>
      </c>
      <c r="G114" s="28">
        <f>IF($C114="","",IF(AND($E114&lt;&gt;"Applied",$E114&lt;&gt;""),"-",IF($H114="Yes","Followed up",IF(TODAY()&gt;$F114,"Overdue by "&amp;(TODAY()-$F114)&amp;IF(TODAY()-$F114=1," day"," days"),IF(TODAY()=$F114,"Follow up today","Due in "&amp;($F114-TODAY())&amp;IF($F114-TODAY()=1," day"," days"))))))</f>
        <v/>
      </c>
      <c r="H114" s="25" t="n"/>
      <c r="I114" s="25" t="n"/>
      <c r="J114" s="25" t="n"/>
      <c r="K114" s="25" t="n"/>
    </row>
    <row r="115" ht="18" customHeight="1">
      <c r="A115" s="25" t="n"/>
      <c r="B115" s="25" t="n"/>
      <c r="C115" s="26" t="n"/>
      <c r="D115" s="25" t="n"/>
      <c r="E115" s="25" t="n"/>
      <c r="F115" s="27">
        <f>IF($C115="","",$C115+7)</f>
        <v/>
      </c>
      <c r="G115" s="28">
        <f>IF($C115="","",IF(AND($E115&lt;&gt;"Applied",$E115&lt;&gt;""),"-",IF($H115="Yes","Followed up",IF(TODAY()&gt;$F115,"Overdue by "&amp;(TODAY()-$F115)&amp;IF(TODAY()-$F115=1," day"," days"),IF(TODAY()=$F115,"Follow up today","Due in "&amp;($F115-TODAY())&amp;IF($F115-TODAY()=1," day"," days"))))))</f>
        <v/>
      </c>
      <c r="H115" s="25" t="n"/>
      <c r="I115" s="25" t="n"/>
      <c r="J115" s="25" t="n"/>
      <c r="K115" s="25" t="n"/>
    </row>
    <row r="116" ht="18" customHeight="1">
      <c r="A116" s="25" t="n"/>
      <c r="B116" s="25" t="n"/>
      <c r="C116" s="26" t="n"/>
      <c r="D116" s="25" t="n"/>
      <c r="E116" s="25" t="n"/>
      <c r="F116" s="27">
        <f>IF($C116="","",$C116+7)</f>
        <v/>
      </c>
      <c r="G116" s="28">
        <f>IF($C116="","",IF(AND($E116&lt;&gt;"Applied",$E116&lt;&gt;""),"-",IF($H116="Yes","Followed up",IF(TODAY()&gt;$F116,"Overdue by "&amp;(TODAY()-$F116)&amp;IF(TODAY()-$F116=1," day"," days"),IF(TODAY()=$F116,"Follow up today","Due in "&amp;($F116-TODAY())&amp;IF($F116-TODAY()=1," day"," days"))))))</f>
        <v/>
      </c>
      <c r="H116" s="25" t="n"/>
      <c r="I116" s="25" t="n"/>
      <c r="J116" s="25" t="n"/>
      <c r="K116" s="25" t="n"/>
    </row>
    <row r="117" ht="18" customHeight="1">
      <c r="A117" s="25" t="n"/>
      <c r="B117" s="25" t="n"/>
      <c r="C117" s="26" t="n"/>
      <c r="D117" s="25" t="n"/>
      <c r="E117" s="25" t="n"/>
      <c r="F117" s="27">
        <f>IF($C117="","",$C117+7)</f>
        <v/>
      </c>
      <c r="G117" s="28">
        <f>IF($C117="","",IF(AND($E117&lt;&gt;"Applied",$E117&lt;&gt;""),"-",IF($H117="Yes","Followed up",IF(TODAY()&gt;$F117,"Overdue by "&amp;(TODAY()-$F117)&amp;IF(TODAY()-$F117=1," day"," days"),IF(TODAY()=$F117,"Follow up today","Due in "&amp;($F117-TODAY())&amp;IF($F117-TODAY()=1," day"," days"))))))</f>
        <v/>
      </c>
      <c r="H117" s="25" t="n"/>
      <c r="I117" s="25" t="n"/>
      <c r="J117" s="25" t="n"/>
      <c r="K117" s="25" t="n"/>
    </row>
    <row r="118" ht="18" customHeight="1">
      <c r="A118" s="25" t="n"/>
      <c r="B118" s="25" t="n"/>
      <c r="C118" s="26" t="n"/>
      <c r="D118" s="25" t="n"/>
      <c r="E118" s="25" t="n"/>
      <c r="F118" s="27">
        <f>IF($C118="","",$C118+7)</f>
        <v/>
      </c>
      <c r="G118" s="28">
        <f>IF($C118="","",IF(AND($E118&lt;&gt;"Applied",$E118&lt;&gt;""),"-",IF($H118="Yes","Followed up",IF(TODAY()&gt;$F118,"Overdue by "&amp;(TODAY()-$F118)&amp;IF(TODAY()-$F118=1," day"," days"),IF(TODAY()=$F118,"Follow up today","Due in "&amp;($F118-TODAY())&amp;IF($F118-TODAY()=1," day"," days"))))))</f>
        <v/>
      </c>
      <c r="H118" s="25" t="n"/>
      <c r="I118" s="25" t="n"/>
      <c r="J118" s="25" t="n"/>
      <c r="K118" s="25" t="n"/>
    </row>
    <row r="119" ht="18" customHeight="1">
      <c r="A119" s="25" t="n"/>
      <c r="B119" s="25" t="n"/>
      <c r="C119" s="26" t="n"/>
      <c r="D119" s="25" t="n"/>
      <c r="E119" s="25" t="n"/>
      <c r="F119" s="27">
        <f>IF($C119="","",$C119+7)</f>
        <v/>
      </c>
      <c r="G119" s="28">
        <f>IF($C119="","",IF(AND($E119&lt;&gt;"Applied",$E119&lt;&gt;""),"-",IF($H119="Yes","Followed up",IF(TODAY()&gt;$F119,"Overdue by "&amp;(TODAY()-$F119)&amp;IF(TODAY()-$F119=1," day"," days"),IF(TODAY()=$F119,"Follow up today","Due in "&amp;($F119-TODAY())&amp;IF($F119-TODAY()=1," day"," days"))))))</f>
        <v/>
      </c>
      <c r="H119" s="25" t="n"/>
      <c r="I119" s="25" t="n"/>
      <c r="J119" s="25" t="n"/>
      <c r="K119" s="25" t="n"/>
    </row>
    <row r="120" ht="18" customHeight="1">
      <c r="A120" s="25" t="n"/>
      <c r="B120" s="25" t="n"/>
      <c r="C120" s="26" t="n"/>
      <c r="D120" s="25" t="n"/>
      <c r="E120" s="25" t="n"/>
      <c r="F120" s="27">
        <f>IF($C120="","",$C120+7)</f>
        <v/>
      </c>
      <c r="G120" s="28">
        <f>IF($C120="","",IF(AND($E120&lt;&gt;"Applied",$E120&lt;&gt;""),"-",IF($H120="Yes","Followed up",IF(TODAY()&gt;$F120,"Overdue by "&amp;(TODAY()-$F120)&amp;IF(TODAY()-$F120=1," day"," days"),IF(TODAY()=$F120,"Follow up today","Due in "&amp;($F120-TODAY())&amp;IF($F120-TODAY()=1," day"," days"))))))</f>
        <v/>
      </c>
      <c r="H120" s="25" t="n"/>
      <c r="I120" s="25" t="n"/>
      <c r="J120" s="25" t="n"/>
      <c r="K120" s="25" t="n"/>
    </row>
    <row r="121" ht="18" customHeight="1">
      <c r="A121" s="25" t="n"/>
      <c r="B121" s="25" t="n"/>
      <c r="C121" s="26" t="n"/>
      <c r="D121" s="25" t="n"/>
      <c r="E121" s="25" t="n"/>
      <c r="F121" s="27">
        <f>IF($C121="","",$C121+7)</f>
        <v/>
      </c>
      <c r="G121" s="28">
        <f>IF($C121="","",IF(AND($E121&lt;&gt;"Applied",$E121&lt;&gt;""),"-",IF($H121="Yes","Followed up",IF(TODAY()&gt;$F121,"Overdue by "&amp;(TODAY()-$F121)&amp;IF(TODAY()-$F121=1," day"," days"),IF(TODAY()=$F121,"Follow up today","Due in "&amp;($F121-TODAY())&amp;IF($F121-TODAY()=1," day"," days"))))))</f>
        <v/>
      </c>
      <c r="H121" s="25" t="n"/>
      <c r="I121" s="25" t="n"/>
      <c r="J121" s="25" t="n"/>
      <c r="K121" s="25" t="n"/>
    </row>
    <row r="122" ht="18" customHeight="1">
      <c r="A122" s="25" t="n"/>
      <c r="B122" s="25" t="n"/>
      <c r="C122" s="26" t="n"/>
      <c r="D122" s="25" t="n"/>
      <c r="E122" s="25" t="n"/>
      <c r="F122" s="27">
        <f>IF($C122="","",$C122+7)</f>
        <v/>
      </c>
      <c r="G122" s="28">
        <f>IF($C122="","",IF(AND($E122&lt;&gt;"Applied",$E122&lt;&gt;""),"-",IF($H122="Yes","Followed up",IF(TODAY()&gt;$F122,"Overdue by "&amp;(TODAY()-$F122)&amp;IF(TODAY()-$F122=1," day"," days"),IF(TODAY()=$F122,"Follow up today","Due in "&amp;($F122-TODAY())&amp;IF($F122-TODAY()=1," day"," days"))))))</f>
        <v/>
      </c>
      <c r="H122" s="25" t="n"/>
      <c r="I122" s="25" t="n"/>
      <c r="J122" s="25" t="n"/>
      <c r="K122" s="25" t="n"/>
    </row>
    <row r="123" ht="18" customHeight="1">
      <c r="A123" s="25" t="n"/>
      <c r="B123" s="25" t="n"/>
      <c r="C123" s="26" t="n"/>
      <c r="D123" s="25" t="n"/>
      <c r="E123" s="25" t="n"/>
      <c r="F123" s="27">
        <f>IF($C123="","",$C123+7)</f>
        <v/>
      </c>
      <c r="G123" s="28">
        <f>IF($C123="","",IF(AND($E123&lt;&gt;"Applied",$E123&lt;&gt;""),"-",IF($H123="Yes","Followed up",IF(TODAY()&gt;$F123,"Overdue by "&amp;(TODAY()-$F123)&amp;IF(TODAY()-$F123=1," day"," days"),IF(TODAY()=$F123,"Follow up today","Due in "&amp;($F123-TODAY())&amp;IF($F123-TODAY()=1," day"," days"))))))</f>
        <v/>
      </c>
      <c r="H123" s="25" t="n"/>
      <c r="I123" s="25" t="n"/>
      <c r="J123" s="25" t="n"/>
      <c r="K123" s="25" t="n"/>
    </row>
    <row r="124" ht="18" customHeight="1">
      <c r="A124" s="25" t="n"/>
      <c r="B124" s="25" t="n"/>
      <c r="C124" s="26" t="n"/>
      <c r="D124" s="25" t="n"/>
      <c r="E124" s="25" t="n"/>
      <c r="F124" s="27">
        <f>IF($C124="","",$C124+7)</f>
        <v/>
      </c>
      <c r="G124" s="28">
        <f>IF($C124="","",IF(AND($E124&lt;&gt;"Applied",$E124&lt;&gt;""),"-",IF($H124="Yes","Followed up",IF(TODAY()&gt;$F124,"Overdue by "&amp;(TODAY()-$F124)&amp;IF(TODAY()-$F124=1," day"," days"),IF(TODAY()=$F124,"Follow up today","Due in "&amp;($F124-TODAY())&amp;IF($F124-TODAY()=1," day"," days"))))))</f>
        <v/>
      </c>
      <c r="H124" s="25" t="n"/>
      <c r="I124" s="25" t="n"/>
      <c r="J124" s="25" t="n"/>
      <c r="K124" s="25" t="n"/>
    </row>
    <row r="125" ht="18" customHeight="1">
      <c r="A125" s="25" t="n"/>
      <c r="B125" s="25" t="n"/>
      <c r="C125" s="26" t="n"/>
      <c r="D125" s="25" t="n"/>
      <c r="E125" s="25" t="n"/>
      <c r="F125" s="27">
        <f>IF($C125="","",$C125+7)</f>
        <v/>
      </c>
      <c r="G125" s="28">
        <f>IF($C125="","",IF(AND($E125&lt;&gt;"Applied",$E125&lt;&gt;""),"-",IF($H125="Yes","Followed up",IF(TODAY()&gt;$F125,"Overdue by "&amp;(TODAY()-$F125)&amp;IF(TODAY()-$F125=1," day"," days"),IF(TODAY()=$F125,"Follow up today","Due in "&amp;($F125-TODAY())&amp;IF($F125-TODAY()=1," day"," days"))))))</f>
        <v/>
      </c>
      <c r="H125" s="25" t="n"/>
      <c r="I125" s="25" t="n"/>
      <c r="J125" s="25" t="n"/>
      <c r="K125" s="25" t="n"/>
    </row>
    <row r="126" ht="18" customHeight="1">
      <c r="A126" s="25" t="n"/>
      <c r="B126" s="25" t="n"/>
      <c r="C126" s="26" t="n"/>
      <c r="D126" s="25" t="n"/>
      <c r="E126" s="25" t="n"/>
      <c r="F126" s="27">
        <f>IF($C126="","",$C126+7)</f>
        <v/>
      </c>
      <c r="G126" s="28">
        <f>IF($C126="","",IF(AND($E126&lt;&gt;"Applied",$E126&lt;&gt;""),"-",IF($H126="Yes","Followed up",IF(TODAY()&gt;$F126,"Overdue by "&amp;(TODAY()-$F126)&amp;IF(TODAY()-$F126=1," day"," days"),IF(TODAY()=$F126,"Follow up today","Due in "&amp;($F126-TODAY())&amp;IF($F126-TODAY()=1," day"," days"))))))</f>
        <v/>
      </c>
      <c r="H126" s="25" t="n"/>
      <c r="I126" s="25" t="n"/>
      <c r="J126" s="25" t="n"/>
      <c r="K126" s="25" t="n"/>
    </row>
    <row r="127" ht="18" customHeight="1">
      <c r="A127" s="25" t="n"/>
      <c r="B127" s="25" t="n"/>
      <c r="C127" s="26" t="n"/>
      <c r="D127" s="25" t="n"/>
      <c r="E127" s="25" t="n"/>
      <c r="F127" s="27">
        <f>IF($C127="","",$C127+7)</f>
        <v/>
      </c>
      <c r="G127" s="28">
        <f>IF($C127="","",IF(AND($E127&lt;&gt;"Applied",$E127&lt;&gt;""),"-",IF($H127="Yes","Followed up",IF(TODAY()&gt;$F127,"Overdue by "&amp;(TODAY()-$F127)&amp;IF(TODAY()-$F127=1," day"," days"),IF(TODAY()=$F127,"Follow up today","Due in "&amp;($F127-TODAY())&amp;IF($F127-TODAY()=1," day"," days"))))))</f>
        <v/>
      </c>
      <c r="H127" s="25" t="n"/>
      <c r="I127" s="25" t="n"/>
      <c r="J127" s="25" t="n"/>
      <c r="K127" s="25" t="n"/>
    </row>
    <row r="128" ht="18" customHeight="1">
      <c r="A128" s="25" t="n"/>
      <c r="B128" s="25" t="n"/>
      <c r="C128" s="26" t="n"/>
      <c r="D128" s="25" t="n"/>
      <c r="E128" s="25" t="n"/>
      <c r="F128" s="27">
        <f>IF($C128="","",$C128+7)</f>
        <v/>
      </c>
      <c r="G128" s="28">
        <f>IF($C128="","",IF(AND($E128&lt;&gt;"Applied",$E128&lt;&gt;""),"-",IF($H128="Yes","Followed up",IF(TODAY()&gt;$F128,"Overdue by "&amp;(TODAY()-$F128)&amp;IF(TODAY()-$F128=1," day"," days"),IF(TODAY()=$F128,"Follow up today","Due in "&amp;($F128-TODAY())&amp;IF($F128-TODAY()=1," day"," days"))))))</f>
        <v/>
      </c>
      <c r="H128" s="25" t="n"/>
      <c r="I128" s="25" t="n"/>
      <c r="J128" s="25" t="n"/>
      <c r="K128" s="25" t="n"/>
    </row>
    <row r="129" ht="18" customHeight="1">
      <c r="A129" s="25" t="n"/>
      <c r="B129" s="25" t="n"/>
      <c r="C129" s="26" t="n"/>
      <c r="D129" s="25" t="n"/>
      <c r="E129" s="25" t="n"/>
      <c r="F129" s="27">
        <f>IF($C129="","",$C129+7)</f>
        <v/>
      </c>
      <c r="G129" s="28">
        <f>IF($C129="","",IF(AND($E129&lt;&gt;"Applied",$E129&lt;&gt;""),"-",IF($H129="Yes","Followed up",IF(TODAY()&gt;$F129,"Overdue by "&amp;(TODAY()-$F129)&amp;IF(TODAY()-$F129=1," day"," days"),IF(TODAY()=$F129,"Follow up today","Due in "&amp;($F129-TODAY())&amp;IF($F129-TODAY()=1," day"," days"))))))</f>
        <v/>
      </c>
      <c r="H129" s="25" t="n"/>
      <c r="I129" s="25" t="n"/>
      <c r="J129" s="25" t="n"/>
      <c r="K129" s="25" t="n"/>
    </row>
    <row r="130" ht="18" customHeight="1">
      <c r="A130" s="25" t="n"/>
      <c r="B130" s="25" t="n"/>
      <c r="C130" s="26" t="n"/>
      <c r="D130" s="25" t="n"/>
      <c r="E130" s="25" t="n"/>
      <c r="F130" s="27">
        <f>IF($C130="","",$C130+7)</f>
        <v/>
      </c>
      <c r="G130" s="28">
        <f>IF($C130="","",IF(AND($E130&lt;&gt;"Applied",$E130&lt;&gt;""),"-",IF($H130="Yes","Followed up",IF(TODAY()&gt;$F130,"Overdue by "&amp;(TODAY()-$F130)&amp;IF(TODAY()-$F130=1," day"," days"),IF(TODAY()=$F130,"Follow up today","Due in "&amp;($F130-TODAY())&amp;IF($F130-TODAY()=1," day"," days"))))))</f>
        <v/>
      </c>
      <c r="H130" s="25" t="n"/>
      <c r="I130" s="25" t="n"/>
      <c r="J130" s="25" t="n"/>
      <c r="K130" s="25" t="n"/>
    </row>
    <row r="131" ht="18" customHeight="1">
      <c r="A131" s="25" t="n"/>
      <c r="B131" s="25" t="n"/>
      <c r="C131" s="26" t="n"/>
      <c r="D131" s="25" t="n"/>
      <c r="E131" s="25" t="n"/>
      <c r="F131" s="27">
        <f>IF($C131="","",$C131+7)</f>
        <v/>
      </c>
      <c r="G131" s="28">
        <f>IF($C131="","",IF(AND($E131&lt;&gt;"Applied",$E131&lt;&gt;""),"-",IF($H131="Yes","Followed up",IF(TODAY()&gt;$F131,"Overdue by "&amp;(TODAY()-$F131)&amp;IF(TODAY()-$F131=1," day"," days"),IF(TODAY()=$F131,"Follow up today","Due in "&amp;($F131-TODAY())&amp;IF($F131-TODAY()=1," day"," days"))))))</f>
        <v/>
      </c>
      <c r="H131" s="25" t="n"/>
      <c r="I131" s="25" t="n"/>
      <c r="J131" s="25" t="n"/>
      <c r="K131" s="25" t="n"/>
    </row>
    <row r="132" ht="18" customHeight="1">
      <c r="A132" s="25" t="n"/>
      <c r="B132" s="25" t="n"/>
      <c r="C132" s="26" t="n"/>
      <c r="D132" s="25" t="n"/>
      <c r="E132" s="25" t="n"/>
      <c r="F132" s="27">
        <f>IF($C132="","",$C132+7)</f>
        <v/>
      </c>
      <c r="G132" s="28">
        <f>IF($C132="","",IF(AND($E132&lt;&gt;"Applied",$E132&lt;&gt;""),"-",IF($H132="Yes","Followed up",IF(TODAY()&gt;$F132,"Overdue by "&amp;(TODAY()-$F132)&amp;IF(TODAY()-$F132=1," day"," days"),IF(TODAY()=$F132,"Follow up today","Due in "&amp;($F132-TODAY())&amp;IF($F132-TODAY()=1," day"," days"))))))</f>
        <v/>
      </c>
      <c r="H132" s="25" t="n"/>
      <c r="I132" s="25" t="n"/>
      <c r="J132" s="25" t="n"/>
      <c r="K132" s="25" t="n"/>
    </row>
    <row r="133" ht="18" customHeight="1">
      <c r="A133" s="25" t="n"/>
      <c r="B133" s="25" t="n"/>
      <c r="C133" s="26" t="n"/>
      <c r="D133" s="25" t="n"/>
      <c r="E133" s="25" t="n"/>
      <c r="F133" s="27">
        <f>IF($C133="","",$C133+7)</f>
        <v/>
      </c>
      <c r="G133" s="28">
        <f>IF($C133="","",IF(AND($E133&lt;&gt;"Applied",$E133&lt;&gt;""),"-",IF($H133="Yes","Followed up",IF(TODAY()&gt;$F133,"Overdue by "&amp;(TODAY()-$F133)&amp;IF(TODAY()-$F133=1," day"," days"),IF(TODAY()=$F133,"Follow up today","Due in "&amp;($F133-TODAY())&amp;IF($F133-TODAY()=1," day"," days"))))))</f>
        <v/>
      </c>
      <c r="H133" s="25" t="n"/>
      <c r="I133" s="25" t="n"/>
      <c r="J133" s="25" t="n"/>
      <c r="K133" s="25" t="n"/>
    </row>
    <row r="134" ht="18" customHeight="1">
      <c r="A134" s="25" t="n"/>
      <c r="B134" s="25" t="n"/>
      <c r="C134" s="26" t="n"/>
      <c r="D134" s="25" t="n"/>
      <c r="E134" s="25" t="n"/>
      <c r="F134" s="27">
        <f>IF($C134="","",$C134+7)</f>
        <v/>
      </c>
      <c r="G134" s="28">
        <f>IF($C134="","",IF(AND($E134&lt;&gt;"Applied",$E134&lt;&gt;""),"-",IF($H134="Yes","Followed up",IF(TODAY()&gt;$F134,"Overdue by "&amp;(TODAY()-$F134)&amp;IF(TODAY()-$F134=1," day"," days"),IF(TODAY()=$F134,"Follow up today","Due in "&amp;($F134-TODAY())&amp;IF($F134-TODAY()=1," day"," days"))))))</f>
        <v/>
      </c>
      <c r="H134" s="25" t="n"/>
      <c r="I134" s="25" t="n"/>
      <c r="J134" s="25" t="n"/>
      <c r="K134" s="25" t="n"/>
    </row>
    <row r="135" ht="18" customHeight="1">
      <c r="A135" s="25" t="n"/>
      <c r="B135" s="25" t="n"/>
      <c r="C135" s="26" t="n"/>
      <c r="D135" s="25" t="n"/>
      <c r="E135" s="25" t="n"/>
      <c r="F135" s="27">
        <f>IF($C135="","",$C135+7)</f>
        <v/>
      </c>
      <c r="G135" s="28">
        <f>IF($C135="","",IF(AND($E135&lt;&gt;"Applied",$E135&lt;&gt;""),"-",IF($H135="Yes","Followed up",IF(TODAY()&gt;$F135,"Overdue by "&amp;(TODAY()-$F135)&amp;IF(TODAY()-$F135=1," day"," days"),IF(TODAY()=$F135,"Follow up today","Due in "&amp;($F135-TODAY())&amp;IF($F135-TODAY()=1," day"," days"))))))</f>
        <v/>
      </c>
      <c r="H135" s="25" t="n"/>
      <c r="I135" s="25" t="n"/>
      <c r="J135" s="25" t="n"/>
      <c r="K135" s="25" t="n"/>
    </row>
    <row r="136" ht="18" customHeight="1">
      <c r="A136" s="25" t="n"/>
      <c r="B136" s="25" t="n"/>
      <c r="C136" s="26" t="n"/>
      <c r="D136" s="25" t="n"/>
      <c r="E136" s="25" t="n"/>
      <c r="F136" s="27">
        <f>IF($C136="","",$C136+7)</f>
        <v/>
      </c>
      <c r="G136" s="28">
        <f>IF($C136="","",IF(AND($E136&lt;&gt;"Applied",$E136&lt;&gt;""),"-",IF($H136="Yes","Followed up",IF(TODAY()&gt;$F136,"Overdue by "&amp;(TODAY()-$F136)&amp;IF(TODAY()-$F136=1," day"," days"),IF(TODAY()=$F136,"Follow up today","Due in "&amp;($F136-TODAY())&amp;IF($F136-TODAY()=1," day"," days"))))))</f>
        <v/>
      </c>
      <c r="H136" s="25" t="n"/>
      <c r="I136" s="25" t="n"/>
      <c r="J136" s="25" t="n"/>
      <c r="K136" s="25" t="n"/>
    </row>
    <row r="137" ht="18" customHeight="1">
      <c r="A137" s="25" t="n"/>
      <c r="B137" s="25" t="n"/>
      <c r="C137" s="26" t="n"/>
      <c r="D137" s="25" t="n"/>
      <c r="E137" s="25" t="n"/>
      <c r="F137" s="27">
        <f>IF($C137="","",$C137+7)</f>
        <v/>
      </c>
      <c r="G137" s="28">
        <f>IF($C137="","",IF(AND($E137&lt;&gt;"Applied",$E137&lt;&gt;""),"-",IF($H137="Yes","Followed up",IF(TODAY()&gt;$F137,"Overdue by "&amp;(TODAY()-$F137)&amp;IF(TODAY()-$F137=1," day"," days"),IF(TODAY()=$F137,"Follow up today","Due in "&amp;($F137-TODAY())&amp;IF($F137-TODAY()=1," day"," days"))))))</f>
        <v/>
      </c>
      <c r="H137" s="25" t="n"/>
      <c r="I137" s="25" t="n"/>
      <c r="J137" s="25" t="n"/>
      <c r="K137" s="25" t="n"/>
    </row>
    <row r="138" ht="18" customHeight="1">
      <c r="A138" s="25" t="n"/>
      <c r="B138" s="25" t="n"/>
      <c r="C138" s="26" t="n"/>
      <c r="D138" s="25" t="n"/>
      <c r="E138" s="25" t="n"/>
      <c r="F138" s="27">
        <f>IF($C138="","",$C138+7)</f>
        <v/>
      </c>
      <c r="G138" s="28">
        <f>IF($C138="","",IF(AND($E138&lt;&gt;"Applied",$E138&lt;&gt;""),"-",IF($H138="Yes","Followed up",IF(TODAY()&gt;$F138,"Overdue by "&amp;(TODAY()-$F138)&amp;IF(TODAY()-$F138=1," day"," days"),IF(TODAY()=$F138,"Follow up today","Due in "&amp;($F138-TODAY())&amp;IF($F138-TODAY()=1," day"," days"))))))</f>
        <v/>
      </c>
      <c r="H138" s="25" t="n"/>
      <c r="I138" s="25" t="n"/>
      <c r="J138" s="25" t="n"/>
      <c r="K138" s="25" t="n"/>
    </row>
    <row r="139" ht="18" customHeight="1">
      <c r="A139" s="25" t="n"/>
      <c r="B139" s="25" t="n"/>
      <c r="C139" s="26" t="n"/>
      <c r="D139" s="25" t="n"/>
      <c r="E139" s="25" t="n"/>
      <c r="F139" s="27">
        <f>IF($C139="","",$C139+7)</f>
        <v/>
      </c>
      <c r="G139" s="28">
        <f>IF($C139="","",IF(AND($E139&lt;&gt;"Applied",$E139&lt;&gt;""),"-",IF($H139="Yes","Followed up",IF(TODAY()&gt;$F139,"Overdue by "&amp;(TODAY()-$F139)&amp;IF(TODAY()-$F139=1," day"," days"),IF(TODAY()=$F139,"Follow up today","Due in "&amp;($F139-TODAY())&amp;IF($F139-TODAY()=1," day"," days"))))))</f>
        <v/>
      </c>
      <c r="H139" s="25" t="n"/>
      <c r="I139" s="25" t="n"/>
      <c r="J139" s="25" t="n"/>
      <c r="K139" s="25" t="n"/>
    </row>
    <row r="140" ht="18" customHeight="1">
      <c r="A140" s="25" t="n"/>
      <c r="B140" s="25" t="n"/>
      <c r="C140" s="26" t="n"/>
      <c r="D140" s="25" t="n"/>
      <c r="E140" s="25" t="n"/>
      <c r="F140" s="27">
        <f>IF($C140="","",$C140+7)</f>
        <v/>
      </c>
      <c r="G140" s="28">
        <f>IF($C140="","",IF(AND($E140&lt;&gt;"Applied",$E140&lt;&gt;""),"-",IF($H140="Yes","Followed up",IF(TODAY()&gt;$F140,"Overdue by "&amp;(TODAY()-$F140)&amp;IF(TODAY()-$F140=1," day"," days"),IF(TODAY()=$F140,"Follow up today","Due in "&amp;($F140-TODAY())&amp;IF($F140-TODAY()=1," day"," days"))))))</f>
        <v/>
      </c>
      <c r="H140" s="25" t="n"/>
      <c r="I140" s="25" t="n"/>
      <c r="J140" s="25" t="n"/>
      <c r="K140" s="25" t="n"/>
    </row>
    <row r="141" ht="18" customHeight="1">
      <c r="A141" s="25" t="n"/>
      <c r="B141" s="25" t="n"/>
      <c r="C141" s="26" t="n"/>
      <c r="D141" s="25" t="n"/>
      <c r="E141" s="25" t="n"/>
      <c r="F141" s="27">
        <f>IF($C141="","",$C141+7)</f>
        <v/>
      </c>
      <c r="G141" s="28">
        <f>IF($C141="","",IF(AND($E141&lt;&gt;"Applied",$E141&lt;&gt;""),"-",IF($H141="Yes","Followed up",IF(TODAY()&gt;$F141,"Overdue by "&amp;(TODAY()-$F141)&amp;IF(TODAY()-$F141=1," day"," days"),IF(TODAY()=$F141,"Follow up today","Due in "&amp;($F141-TODAY())&amp;IF($F141-TODAY()=1," day"," days"))))))</f>
        <v/>
      </c>
      <c r="H141" s="25" t="n"/>
      <c r="I141" s="25" t="n"/>
      <c r="J141" s="25" t="n"/>
      <c r="K141" s="25" t="n"/>
    </row>
    <row r="142" ht="18" customHeight="1">
      <c r="A142" s="25" t="n"/>
      <c r="B142" s="25" t="n"/>
      <c r="C142" s="26" t="n"/>
      <c r="D142" s="25" t="n"/>
      <c r="E142" s="25" t="n"/>
      <c r="F142" s="27">
        <f>IF($C142="","",$C142+7)</f>
        <v/>
      </c>
      <c r="G142" s="28">
        <f>IF($C142="","",IF(AND($E142&lt;&gt;"Applied",$E142&lt;&gt;""),"-",IF($H142="Yes","Followed up",IF(TODAY()&gt;$F142,"Overdue by "&amp;(TODAY()-$F142)&amp;IF(TODAY()-$F142=1," day"," days"),IF(TODAY()=$F142,"Follow up today","Due in "&amp;($F142-TODAY())&amp;IF($F142-TODAY()=1," day"," days"))))))</f>
        <v/>
      </c>
      <c r="H142" s="25" t="n"/>
      <c r="I142" s="25" t="n"/>
      <c r="J142" s="25" t="n"/>
      <c r="K142" s="25" t="n"/>
    </row>
    <row r="143" ht="18" customHeight="1">
      <c r="A143" s="25" t="n"/>
      <c r="B143" s="25" t="n"/>
      <c r="C143" s="26" t="n"/>
      <c r="D143" s="25" t="n"/>
      <c r="E143" s="25" t="n"/>
      <c r="F143" s="27">
        <f>IF($C143="","",$C143+7)</f>
        <v/>
      </c>
      <c r="G143" s="28">
        <f>IF($C143="","",IF(AND($E143&lt;&gt;"Applied",$E143&lt;&gt;""),"-",IF($H143="Yes","Followed up",IF(TODAY()&gt;$F143,"Overdue by "&amp;(TODAY()-$F143)&amp;IF(TODAY()-$F143=1," day"," days"),IF(TODAY()=$F143,"Follow up today","Due in "&amp;($F143-TODAY())&amp;IF($F143-TODAY()=1," day"," days"))))))</f>
        <v/>
      </c>
      <c r="H143" s="25" t="n"/>
      <c r="I143" s="25" t="n"/>
      <c r="J143" s="25" t="n"/>
      <c r="K143" s="25" t="n"/>
    </row>
    <row r="144" ht="18" customHeight="1">
      <c r="A144" s="25" t="n"/>
      <c r="B144" s="25" t="n"/>
      <c r="C144" s="26" t="n"/>
      <c r="D144" s="25" t="n"/>
      <c r="E144" s="25" t="n"/>
      <c r="F144" s="27">
        <f>IF($C144="","",$C144+7)</f>
        <v/>
      </c>
      <c r="G144" s="28">
        <f>IF($C144="","",IF(AND($E144&lt;&gt;"Applied",$E144&lt;&gt;""),"-",IF($H144="Yes","Followed up",IF(TODAY()&gt;$F144,"Overdue by "&amp;(TODAY()-$F144)&amp;IF(TODAY()-$F144=1," day"," days"),IF(TODAY()=$F144,"Follow up today","Due in "&amp;($F144-TODAY())&amp;IF($F144-TODAY()=1," day"," days"))))))</f>
        <v/>
      </c>
      <c r="H144" s="25" t="n"/>
      <c r="I144" s="25" t="n"/>
      <c r="J144" s="25" t="n"/>
      <c r="K144" s="25" t="n"/>
    </row>
    <row r="145" ht="18" customHeight="1">
      <c r="A145" s="25" t="n"/>
      <c r="B145" s="25" t="n"/>
      <c r="C145" s="26" t="n"/>
      <c r="D145" s="25" t="n"/>
      <c r="E145" s="25" t="n"/>
      <c r="F145" s="27">
        <f>IF($C145="","",$C145+7)</f>
        <v/>
      </c>
      <c r="G145" s="28">
        <f>IF($C145="","",IF(AND($E145&lt;&gt;"Applied",$E145&lt;&gt;""),"-",IF($H145="Yes","Followed up",IF(TODAY()&gt;$F145,"Overdue by "&amp;(TODAY()-$F145)&amp;IF(TODAY()-$F145=1," day"," days"),IF(TODAY()=$F145,"Follow up today","Due in "&amp;($F145-TODAY())&amp;IF($F145-TODAY()=1," day"," days"))))))</f>
        <v/>
      </c>
      <c r="H145" s="25" t="n"/>
      <c r="I145" s="25" t="n"/>
      <c r="J145" s="25" t="n"/>
      <c r="K145" s="25" t="n"/>
    </row>
    <row r="146" ht="18" customHeight="1">
      <c r="A146" s="25" t="n"/>
      <c r="B146" s="25" t="n"/>
      <c r="C146" s="26" t="n"/>
      <c r="D146" s="25" t="n"/>
      <c r="E146" s="25" t="n"/>
      <c r="F146" s="27">
        <f>IF($C146="","",$C146+7)</f>
        <v/>
      </c>
      <c r="G146" s="28">
        <f>IF($C146="","",IF(AND($E146&lt;&gt;"Applied",$E146&lt;&gt;""),"-",IF($H146="Yes","Followed up",IF(TODAY()&gt;$F146,"Overdue by "&amp;(TODAY()-$F146)&amp;IF(TODAY()-$F146=1," day"," days"),IF(TODAY()=$F146,"Follow up today","Due in "&amp;($F146-TODAY())&amp;IF($F146-TODAY()=1," day"," days"))))))</f>
        <v/>
      </c>
      <c r="H146" s="25" t="n"/>
      <c r="I146" s="25" t="n"/>
      <c r="J146" s="25" t="n"/>
      <c r="K146" s="25" t="n"/>
    </row>
    <row r="147" ht="18" customHeight="1">
      <c r="A147" s="25" t="n"/>
      <c r="B147" s="25" t="n"/>
      <c r="C147" s="26" t="n"/>
      <c r="D147" s="25" t="n"/>
      <c r="E147" s="25" t="n"/>
      <c r="F147" s="27">
        <f>IF($C147="","",$C147+7)</f>
        <v/>
      </c>
      <c r="G147" s="28">
        <f>IF($C147="","",IF(AND($E147&lt;&gt;"Applied",$E147&lt;&gt;""),"-",IF($H147="Yes","Followed up",IF(TODAY()&gt;$F147,"Overdue by "&amp;(TODAY()-$F147)&amp;IF(TODAY()-$F147=1," day"," days"),IF(TODAY()=$F147,"Follow up today","Due in "&amp;($F147-TODAY())&amp;IF($F147-TODAY()=1," day"," days"))))))</f>
        <v/>
      </c>
      <c r="H147" s="25" t="n"/>
      <c r="I147" s="25" t="n"/>
      <c r="J147" s="25" t="n"/>
      <c r="K147" s="25" t="n"/>
    </row>
    <row r="148" ht="18" customHeight="1">
      <c r="A148" s="25" t="n"/>
      <c r="B148" s="25" t="n"/>
      <c r="C148" s="26" t="n"/>
      <c r="D148" s="25" t="n"/>
      <c r="E148" s="25" t="n"/>
      <c r="F148" s="27">
        <f>IF($C148="","",$C148+7)</f>
        <v/>
      </c>
      <c r="G148" s="28">
        <f>IF($C148="","",IF(AND($E148&lt;&gt;"Applied",$E148&lt;&gt;""),"-",IF($H148="Yes","Followed up",IF(TODAY()&gt;$F148,"Overdue by "&amp;(TODAY()-$F148)&amp;IF(TODAY()-$F148=1," day"," days"),IF(TODAY()=$F148,"Follow up today","Due in "&amp;($F148-TODAY())&amp;IF($F148-TODAY()=1," day"," days"))))))</f>
        <v/>
      </c>
      <c r="H148" s="25" t="n"/>
      <c r="I148" s="25" t="n"/>
      <c r="J148" s="25" t="n"/>
      <c r="K148" s="25" t="n"/>
    </row>
    <row r="149" ht="18" customHeight="1">
      <c r="A149" s="25" t="n"/>
      <c r="B149" s="25" t="n"/>
      <c r="C149" s="26" t="n"/>
      <c r="D149" s="25" t="n"/>
      <c r="E149" s="25" t="n"/>
      <c r="F149" s="27">
        <f>IF($C149="","",$C149+7)</f>
        <v/>
      </c>
      <c r="G149" s="28">
        <f>IF($C149="","",IF(AND($E149&lt;&gt;"Applied",$E149&lt;&gt;""),"-",IF($H149="Yes","Followed up",IF(TODAY()&gt;$F149,"Overdue by "&amp;(TODAY()-$F149)&amp;IF(TODAY()-$F149=1," day"," days"),IF(TODAY()=$F149,"Follow up today","Due in "&amp;($F149-TODAY())&amp;IF($F149-TODAY()=1," day"," days"))))))</f>
        <v/>
      </c>
      <c r="H149" s="25" t="n"/>
      <c r="I149" s="25" t="n"/>
      <c r="J149" s="25" t="n"/>
      <c r="K149" s="25" t="n"/>
    </row>
    <row r="150" ht="18" customHeight="1">
      <c r="A150" s="25" t="n"/>
      <c r="B150" s="25" t="n"/>
      <c r="C150" s="26" t="n"/>
      <c r="D150" s="25" t="n"/>
      <c r="E150" s="25" t="n"/>
      <c r="F150" s="27">
        <f>IF($C150="","",$C150+7)</f>
        <v/>
      </c>
      <c r="G150" s="28">
        <f>IF($C150="","",IF(AND($E150&lt;&gt;"Applied",$E150&lt;&gt;""),"-",IF($H150="Yes","Followed up",IF(TODAY()&gt;$F150,"Overdue by "&amp;(TODAY()-$F150)&amp;IF(TODAY()-$F150=1," day"," days"),IF(TODAY()=$F150,"Follow up today","Due in "&amp;($F150-TODAY())&amp;IF($F150-TODAY()=1," day"," days"))))))</f>
        <v/>
      </c>
      <c r="H150" s="25" t="n"/>
      <c r="I150" s="25" t="n"/>
      <c r="J150" s="25" t="n"/>
      <c r="K150" s="25" t="n"/>
    </row>
    <row r="151" ht="18" customHeight="1">
      <c r="A151" s="25" t="n"/>
      <c r="B151" s="25" t="n"/>
      <c r="C151" s="26" t="n"/>
      <c r="D151" s="25" t="n"/>
      <c r="E151" s="25" t="n"/>
      <c r="F151" s="27">
        <f>IF($C151="","",$C151+7)</f>
        <v/>
      </c>
      <c r="G151" s="28">
        <f>IF($C151="","",IF(AND($E151&lt;&gt;"Applied",$E151&lt;&gt;""),"-",IF($H151="Yes","Followed up",IF(TODAY()&gt;$F151,"Overdue by "&amp;(TODAY()-$F151)&amp;IF(TODAY()-$F151=1," day"," days"),IF(TODAY()=$F151,"Follow up today","Due in "&amp;($F151-TODAY())&amp;IF($F151-TODAY()=1," day"," days"))))))</f>
        <v/>
      </c>
      <c r="H151" s="25" t="n"/>
      <c r="I151" s="25" t="n"/>
      <c r="J151" s="25" t="n"/>
      <c r="K151" s="25" t="n"/>
    </row>
    <row r="152" ht="18" customHeight="1">
      <c r="A152" s="25" t="n"/>
      <c r="B152" s="25" t="n"/>
      <c r="C152" s="26" t="n"/>
      <c r="D152" s="25" t="n"/>
      <c r="E152" s="25" t="n"/>
      <c r="F152" s="27">
        <f>IF($C152="","",$C152+7)</f>
        <v/>
      </c>
      <c r="G152" s="28">
        <f>IF($C152="","",IF(AND($E152&lt;&gt;"Applied",$E152&lt;&gt;""),"-",IF($H152="Yes","Followed up",IF(TODAY()&gt;$F152,"Overdue by "&amp;(TODAY()-$F152)&amp;IF(TODAY()-$F152=1," day"," days"),IF(TODAY()=$F152,"Follow up today","Due in "&amp;($F152-TODAY())&amp;IF($F152-TODAY()=1," day"," days"))))))</f>
        <v/>
      </c>
      <c r="H152" s="25" t="n"/>
      <c r="I152" s="25" t="n"/>
      <c r="J152" s="25" t="n"/>
      <c r="K152" s="25" t="n"/>
    </row>
    <row r="153" ht="18" customHeight="1">
      <c r="A153" s="25" t="n"/>
      <c r="B153" s="25" t="n"/>
      <c r="C153" s="26" t="n"/>
      <c r="D153" s="25" t="n"/>
      <c r="E153" s="25" t="n"/>
      <c r="F153" s="27">
        <f>IF($C153="","",$C153+7)</f>
        <v/>
      </c>
      <c r="G153" s="28">
        <f>IF($C153="","",IF(AND($E153&lt;&gt;"Applied",$E153&lt;&gt;""),"-",IF($H153="Yes","Followed up",IF(TODAY()&gt;$F153,"Overdue by "&amp;(TODAY()-$F153)&amp;IF(TODAY()-$F153=1," day"," days"),IF(TODAY()=$F153,"Follow up today","Due in "&amp;($F153-TODAY())&amp;IF($F153-TODAY()=1," day"," days"))))))</f>
        <v/>
      </c>
      <c r="H153" s="25" t="n"/>
      <c r="I153" s="25" t="n"/>
      <c r="J153" s="25" t="n"/>
      <c r="K153" s="25" t="n"/>
    </row>
    <row r="154" ht="18" customHeight="1">
      <c r="A154" s="25" t="n"/>
      <c r="B154" s="25" t="n"/>
      <c r="C154" s="26" t="n"/>
      <c r="D154" s="25" t="n"/>
      <c r="E154" s="25" t="n"/>
      <c r="F154" s="27">
        <f>IF($C154="","",$C154+7)</f>
        <v/>
      </c>
      <c r="G154" s="28">
        <f>IF($C154="","",IF(AND($E154&lt;&gt;"Applied",$E154&lt;&gt;""),"-",IF($H154="Yes","Followed up",IF(TODAY()&gt;$F154,"Overdue by "&amp;(TODAY()-$F154)&amp;IF(TODAY()-$F154=1," day"," days"),IF(TODAY()=$F154,"Follow up today","Due in "&amp;($F154-TODAY())&amp;IF($F154-TODAY()=1," day"," days"))))))</f>
        <v/>
      </c>
      <c r="H154" s="25" t="n"/>
      <c r="I154" s="25" t="n"/>
      <c r="J154" s="25" t="n"/>
      <c r="K154" s="25" t="n"/>
    </row>
    <row r="155" ht="18" customHeight="1">
      <c r="A155" s="25" t="n"/>
      <c r="B155" s="25" t="n"/>
      <c r="C155" s="26" t="n"/>
      <c r="D155" s="25" t="n"/>
      <c r="E155" s="25" t="n"/>
      <c r="F155" s="27">
        <f>IF($C155="","",$C155+7)</f>
        <v/>
      </c>
      <c r="G155" s="28">
        <f>IF($C155="","",IF(AND($E155&lt;&gt;"Applied",$E155&lt;&gt;""),"-",IF($H155="Yes","Followed up",IF(TODAY()&gt;$F155,"Overdue by "&amp;(TODAY()-$F155)&amp;IF(TODAY()-$F155=1," day"," days"),IF(TODAY()=$F155,"Follow up today","Due in "&amp;($F155-TODAY())&amp;IF($F155-TODAY()=1," day"," days"))))))</f>
        <v/>
      </c>
      <c r="H155" s="25" t="n"/>
      <c r="I155" s="25" t="n"/>
      <c r="J155" s="25" t="n"/>
      <c r="K155" s="25" t="n"/>
    </row>
    <row r="156" ht="18" customHeight="1">
      <c r="A156" s="25" t="n"/>
      <c r="B156" s="25" t="n"/>
      <c r="C156" s="26" t="n"/>
      <c r="D156" s="25" t="n"/>
      <c r="E156" s="25" t="n"/>
      <c r="F156" s="27">
        <f>IF($C156="","",$C156+7)</f>
        <v/>
      </c>
      <c r="G156" s="28">
        <f>IF($C156="","",IF(AND($E156&lt;&gt;"Applied",$E156&lt;&gt;""),"-",IF($H156="Yes","Followed up",IF(TODAY()&gt;$F156,"Overdue by "&amp;(TODAY()-$F156)&amp;IF(TODAY()-$F156=1," day"," days"),IF(TODAY()=$F156,"Follow up today","Due in "&amp;($F156-TODAY())&amp;IF($F156-TODAY()=1," day"," days"))))))</f>
        <v/>
      </c>
      <c r="H156" s="25" t="n"/>
      <c r="I156" s="25" t="n"/>
      <c r="J156" s="25" t="n"/>
      <c r="K156" s="25" t="n"/>
    </row>
    <row r="157" ht="18" customHeight="1">
      <c r="A157" s="25" t="n"/>
      <c r="B157" s="25" t="n"/>
      <c r="C157" s="26" t="n"/>
      <c r="D157" s="25" t="n"/>
      <c r="E157" s="25" t="n"/>
      <c r="F157" s="27">
        <f>IF($C157="","",$C157+7)</f>
        <v/>
      </c>
      <c r="G157" s="28">
        <f>IF($C157="","",IF(AND($E157&lt;&gt;"Applied",$E157&lt;&gt;""),"-",IF($H157="Yes","Followed up",IF(TODAY()&gt;$F157,"Overdue by "&amp;(TODAY()-$F157)&amp;IF(TODAY()-$F157=1," day"," days"),IF(TODAY()=$F157,"Follow up today","Due in "&amp;($F157-TODAY())&amp;IF($F157-TODAY()=1," day"," days"))))))</f>
        <v/>
      </c>
      <c r="H157" s="25" t="n"/>
      <c r="I157" s="25" t="n"/>
      <c r="J157" s="25" t="n"/>
      <c r="K157" s="25" t="n"/>
    </row>
    <row r="158" ht="18" customHeight="1">
      <c r="A158" s="25" t="n"/>
      <c r="B158" s="25" t="n"/>
      <c r="C158" s="26" t="n"/>
      <c r="D158" s="25" t="n"/>
      <c r="E158" s="25" t="n"/>
      <c r="F158" s="27">
        <f>IF($C158="","",$C158+7)</f>
        <v/>
      </c>
      <c r="G158" s="28">
        <f>IF($C158="","",IF(AND($E158&lt;&gt;"Applied",$E158&lt;&gt;""),"-",IF($H158="Yes","Followed up",IF(TODAY()&gt;$F158,"Overdue by "&amp;(TODAY()-$F158)&amp;IF(TODAY()-$F158=1," day"," days"),IF(TODAY()=$F158,"Follow up today","Due in "&amp;($F158-TODAY())&amp;IF($F158-TODAY()=1," day"," days"))))))</f>
        <v/>
      </c>
      <c r="H158" s="25" t="n"/>
      <c r="I158" s="25" t="n"/>
      <c r="J158" s="25" t="n"/>
      <c r="K158" s="25" t="n"/>
    </row>
    <row r="159" ht="18" customHeight="1">
      <c r="A159" s="25" t="n"/>
      <c r="B159" s="25" t="n"/>
      <c r="C159" s="26" t="n"/>
      <c r="D159" s="25" t="n"/>
      <c r="E159" s="25" t="n"/>
      <c r="F159" s="27">
        <f>IF($C159="","",$C159+7)</f>
        <v/>
      </c>
      <c r="G159" s="28">
        <f>IF($C159="","",IF(AND($E159&lt;&gt;"Applied",$E159&lt;&gt;""),"-",IF($H159="Yes","Followed up",IF(TODAY()&gt;$F159,"Overdue by "&amp;(TODAY()-$F159)&amp;IF(TODAY()-$F159=1," day"," days"),IF(TODAY()=$F159,"Follow up today","Due in "&amp;($F159-TODAY())&amp;IF($F159-TODAY()=1," day"," days"))))))</f>
        <v/>
      </c>
      <c r="H159" s="25" t="n"/>
      <c r="I159" s="25" t="n"/>
      <c r="J159" s="25" t="n"/>
      <c r="K159" s="25" t="n"/>
    </row>
    <row r="160" ht="18" customHeight="1">
      <c r="A160" s="25" t="n"/>
      <c r="B160" s="25" t="n"/>
      <c r="C160" s="26" t="n"/>
      <c r="D160" s="25" t="n"/>
      <c r="E160" s="25" t="n"/>
      <c r="F160" s="27">
        <f>IF($C160="","",$C160+7)</f>
        <v/>
      </c>
      <c r="G160" s="28">
        <f>IF($C160="","",IF(AND($E160&lt;&gt;"Applied",$E160&lt;&gt;""),"-",IF($H160="Yes","Followed up",IF(TODAY()&gt;$F160,"Overdue by "&amp;(TODAY()-$F160)&amp;IF(TODAY()-$F160=1," day"," days"),IF(TODAY()=$F160,"Follow up today","Due in "&amp;($F160-TODAY())&amp;IF($F160-TODAY()=1," day"," days"))))))</f>
        <v/>
      </c>
      <c r="H160" s="25" t="n"/>
      <c r="I160" s="25" t="n"/>
      <c r="J160" s="25" t="n"/>
      <c r="K160" s="25" t="n"/>
    </row>
    <row r="161" ht="18" customHeight="1">
      <c r="A161" s="25" t="n"/>
      <c r="B161" s="25" t="n"/>
      <c r="C161" s="26" t="n"/>
      <c r="D161" s="25" t="n"/>
      <c r="E161" s="25" t="n"/>
      <c r="F161" s="27">
        <f>IF($C161="","",$C161+7)</f>
        <v/>
      </c>
      <c r="G161" s="28">
        <f>IF($C161="","",IF(AND($E161&lt;&gt;"Applied",$E161&lt;&gt;""),"-",IF($H161="Yes","Followed up",IF(TODAY()&gt;$F161,"Overdue by "&amp;(TODAY()-$F161)&amp;IF(TODAY()-$F161=1," day"," days"),IF(TODAY()=$F161,"Follow up today","Due in "&amp;($F161-TODAY())&amp;IF($F161-TODAY()=1," day"," days"))))))</f>
        <v/>
      </c>
      <c r="H161" s="25" t="n"/>
      <c r="I161" s="25" t="n"/>
      <c r="J161" s="25" t="n"/>
      <c r="K161" s="25" t="n"/>
    </row>
    <row r="162" ht="18" customHeight="1">
      <c r="A162" s="25" t="n"/>
      <c r="B162" s="25" t="n"/>
      <c r="C162" s="26" t="n"/>
      <c r="D162" s="25" t="n"/>
      <c r="E162" s="25" t="n"/>
      <c r="F162" s="27">
        <f>IF($C162="","",$C162+7)</f>
        <v/>
      </c>
      <c r="G162" s="28">
        <f>IF($C162="","",IF(AND($E162&lt;&gt;"Applied",$E162&lt;&gt;""),"-",IF($H162="Yes","Followed up",IF(TODAY()&gt;$F162,"Overdue by "&amp;(TODAY()-$F162)&amp;IF(TODAY()-$F162=1," day"," days"),IF(TODAY()=$F162,"Follow up today","Due in "&amp;($F162-TODAY())&amp;IF($F162-TODAY()=1," day"," days"))))))</f>
        <v/>
      </c>
      <c r="H162" s="25" t="n"/>
      <c r="I162" s="25" t="n"/>
      <c r="J162" s="25" t="n"/>
      <c r="K162" s="25" t="n"/>
    </row>
    <row r="163" ht="18" customHeight="1">
      <c r="A163" s="25" t="n"/>
      <c r="B163" s="25" t="n"/>
      <c r="C163" s="26" t="n"/>
      <c r="D163" s="25" t="n"/>
      <c r="E163" s="25" t="n"/>
      <c r="F163" s="27">
        <f>IF($C163="","",$C163+7)</f>
        <v/>
      </c>
      <c r="G163" s="28">
        <f>IF($C163="","",IF(AND($E163&lt;&gt;"Applied",$E163&lt;&gt;""),"-",IF($H163="Yes","Followed up",IF(TODAY()&gt;$F163,"Overdue by "&amp;(TODAY()-$F163)&amp;IF(TODAY()-$F163=1," day"," days"),IF(TODAY()=$F163,"Follow up today","Due in "&amp;($F163-TODAY())&amp;IF($F163-TODAY()=1," day"," days"))))))</f>
        <v/>
      </c>
      <c r="H163" s="25" t="n"/>
      <c r="I163" s="25" t="n"/>
      <c r="J163" s="25" t="n"/>
      <c r="K163" s="25" t="n"/>
    </row>
    <row r="164" ht="18" customHeight="1">
      <c r="A164" s="25" t="n"/>
      <c r="B164" s="25" t="n"/>
      <c r="C164" s="26" t="n"/>
      <c r="D164" s="25" t="n"/>
      <c r="E164" s="25" t="n"/>
      <c r="F164" s="27">
        <f>IF($C164="","",$C164+7)</f>
        <v/>
      </c>
      <c r="G164" s="28">
        <f>IF($C164="","",IF(AND($E164&lt;&gt;"Applied",$E164&lt;&gt;""),"-",IF($H164="Yes","Followed up",IF(TODAY()&gt;$F164,"Overdue by "&amp;(TODAY()-$F164)&amp;IF(TODAY()-$F164=1," day"," days"),IF(TODAY()=$F164,"Follow up today","Due in "&amp;($F164-TODAY())&amp;IF($F164-TODAY()=1," day"," days"))))))</f>
        <v/>
      </c>
      <c r="H164" s="25" t="n"/>
      <c r="I164" s="25" t="n"/>
      <c r="J164" s="25" t="n"/>
      <c r="K164" s="25" t="n"/>
    </row>
    <row r="165" ht="18" customHeight="1">
      <c r="A165" s="25" t="n"/>
      <c r="B165" s="25" t="n"/>
      <c r="C165" s="26" t="n"/>
      <c r="D165" s="25" t="n"/>
      <c r="E165" s="25" t="n"/>
      <c r="F165" s="27">
        <f>IF($C165="","",$C165+7)</f>
        <v/>
      </c>
      <c r="G165" s="28">
        <f>IF($C165="","",IF(AND($E165&lt;&gt;"Applied",$E165&lt;&gt;""),"-",IF($H165="Yes","Followed up",IF(TODAY()&gt;$F165,"Overdue by "&amp;(TODAY()-$F165)&amp;IF(TODAY()-$F165=1," day"," days"),IF(TODAY()=$F165,"Follow up today","Due in "&amp;($F165-TODAY())&amp;IF($F165-TODAY()=1," day"," days"))))))</f>
        <v/>
      </c>
      <c r="H165" s="25" t="n"/>
      <c r="I165" s="25" t="n"/>
      <c r="J165" s="25" t="n"/>
      <c r="K165" s="25" t="n"/>
    </row>
    <row r="166" ht="18" customHeight="1">
      <c r="A166" s="25" t="n"/>
      <c r="B166" s="25" t="n"/>
      <c r="C166" s="26" t="n"/>
      <c r="D166" s="25" t="n"/>
      <c r="E166" s="25" t="n"/>
      <c r="F166" s="27">
        <f>IF($C166="","",$C166+7)</f>
        <v/>
      </c>
      <c r="G166" s="28">
        <f>IF($C166="","",IF(AND($E166&lt;&gt;"Applied",$E166&lt;&gt;""),"-",IF($H166="Yes","Followed up",IF(TODAY()&gt;$F166,"Overdue by "&amp;(TODAY()-$F166)&amp;IF(TODAY()-$F166=1," day"," days"),IF(TODAY()=$F166,"Follow up today","Due in "&amp;($F166-TODAY())&amp;IF($F166-TODAY()=1," day"," days"))))))</f>
        <v/>
      </c>
      <c r="H166" s="25" t="n"/>
      <c r="I166" s="25" t="n"/>
      <c r="J166" s="25" t="n"/>
      <c r="K166" s="25" t="n"/>
    </row>
    <row r="167" ht="18" customHeight="1">
      <c r="A167" s="25" t="n"/>
      <c r="B167" s="25" t="n"/>
      <c r="C167" s="26" t="n"/>
      <c r="D167" s="25" t="n"/>
      <c r="E167" s="25" t="n"/>
      <c r="F167" s="27">
        <f>IF($C167="","",$C167+7)</f>
        <v/>
      </c>
      <c r="G167" s="28">
        <f>IF($C167="","",IF(AND($E167&lt;&gt;"Applied",$E167&lt;&gt;""),"-",IF($H167="Yes","Followed up",IF(TODAY()&gt;$F167,"Overdue by "&amp;(TODAY()-$F167)&amp;IF(TODAY()-$F167=1," day"," days"),IF(TODAY()=$F167,"Follow up today","Due in "&amp;($F167-TODAY())&amp;IF($F167-TODAY()=1," day"," days"))))))</f>
        <v/>
      </c>
      <c r="H167" s="25" t="n"/>
      <c r="I167" s="25" t="n"/>
      <c r="J167" s="25" t="n"/>
      <c r="K167" s="25" t="n"/>
    </row>
    <row r="168" ht="18" customHeight="1">
      <c r="A168" s="25" t="n"/>
      <c r="B168" s="25" t="n"/>
      <c r="C168" s="26" t="n"/>
      <c r="D168" s="25" t="n"/>
      <c r="E168" s="25" t="n"/>
      <c r="F168" s="27">
        <f>IF($C168="","",$C168+7)</f>
        <v/>
      </c>
      <c r="G168" s="28">
        <f>IF($C168="","",IF(AND($E168&lt;&gt;"Applied",$E168&lt;&gt;""),"-",IF($H168="Yes","Followed up",IF(TODAY()&gt;$F168,"Overdue by "&amp;(TODAY()-$F168)&amp;IF(TODAY()-$F168=1," day"," days"),IF(TODAY()=$F168,"Follow up today","Due in "&amp;($F168-TODAY())&amp;IF($F168-TODAY()=1," day"," days"))))))</f>
        <v/>
      </c>
      <c r="H168" s="25" t="n"/>
      <c r="I168" s="25" t="n"/>
      <c r="J168" s="25" t="n"/>
      <c r="K168" s="25" t="n"/>
    </row>
    <row r="169" ht="18" customHeight="1">
      <c r="A169" s="25" t="n"/>
      <c r="B169" s="25" t="n"/>
      <c r="C169" s="26" t="n"/>
      <c r="D169" s="25" t="n"/>
      <c r="E169" s="25" t="n"/>
      <c r="F169" s="27">
        <f>IF($C169="","",$C169+7)</f>
        <v/>
      </c>
      <c r="G169" s="28">
        <f>IF($C169="","",IF(AND($E169&lt;&gt;"Applied",$E169&lt;&gt;""),"-",IF($H169="Yes","Followed up",IF(TODAY()&gt;$F169,"Overdue by "&amp;(TODAY()-$F169)&amp;IF(TODAY()-$F169=1," day"," days"),IF(TODAY()=$F169,"Follow up today","Due in "&amp;($F169-TODAY())&amp;IF($F169-TODAY()=1," day"," days"))))))</f>
        <v/>
      </c>
      <c r="H169" s="25" t="n"/>
      <c r="I169" s="25" t="n"/>
      <c r="J169" s="25" t="n"/>
      <c r="K169" s="25" t="n"/>
    </row>
    <row r="170" ht="18" customHeight="1">
      <c r="A170" s="25" t="n"/>
      <c r="B170" s="25" t="n"/>
      <c r="C170" s="26" t="n"/>
      <c r="D170" s="25" t="n"/>
      <c r="E170" s="25" t="n"/>
      <c r="F170" s="27">
        <f>IF($C170="","",$C170+7)</f>
        <v/>
      </c>
      <c r="G170" s="28">
        <f>IF($C170="","",IF(AND($E170&lt;&gt;"Applied",$E170&lt;&gt;""),"-",IF($H170="Yes","Followed up",IF(TODAY()&gt;$F170,"Overdue by "&amp;(TODAY()-$F170)&amp;IF(TODAY()-$F170=1," day"," days"),IF(TODAY()=$F170,"Follow up today","Due in "&amp;($F170-TODAY())&amp;IF($F170-TODAY()=1," day"," days"))))))</f>
        <v/>
      </c>
      <c r="H170" s="25" t="n"/>
      <c r="I170" s="25" t="n"/>
      <c r="J170" s="25" t="n"/>
      <c r="K170" s="25" t="n"/>
    </row>
    <row r="171" ht="18" customHeight="1">
      <c r="A171" s="25" t="n"/>
      <c r="B171" s="25" t="n"/>
      <c r="C171" s="26" t="n"/>
      <c r="D171" s="25" t="n"/>
      <c r="E171" s="25" t="n"/>
      <c r="F171" s="27">
        <f>IF($C171="","",$C171+7)</f>
        <v/>
      </c>
      <c r="G171" s="28">
        <f>IF($C171="","",IF(AND($E171&lt;&gt;"Applied",$E171&lt;&gt;""),"-",IF($H171="Yes","Followed up",IF(TODAY()&gt;$F171,"Overdue by "&amp;(TODAY()-$F171)&amp;IF(TODAY()-$F171=1," day"," days"),IF(TODAY()=$F171,"Follow up today","Due in "&amp;($F171-TODAY())&amp;IF($F171-TODAY()=1," day"," days"))))))</f>
        <v/>
      </c>
      <c r="H171" s="25" t="n"/>
      <c r="I171" s="25" t="n"/>
      <c r="J171" s="25" t="n"/>
      <c r="K171" s="25" t="n"/>
    </row>
    <row r="172" ht="18" customHeight="1">
      <c r="A172" s="25" t="n"/>
      <c r="B172" s="25" t="n"/>
      <c r="C172" s="26" t="n"/>
      <c r="D172" s="25" t="n"/>
      <c r="E172" s="25" t="n"/>
      <c r="F172" s="27">
        <f>IF($C172="","",$C172+7)</f>
        <v/>
      </c>
      <c r="G172" s="28">
        <f>IF($C172="","",IF(AND($E172&lt;&gt;"Applied",$E172&lt;&gt;""),"-",IF($H172="Yes","Followed up",IF(TODAY()&gt;$F172,"Overdue by "&amp;(TODAY()-$F172)&amp;IF(TODAY()-$F172=1," day"," days"),IF(TODAY()=$F172,"Follow up today","Due in "&amp;($F172-TODAY())&amp;IF($F172-TODAY()=1," day"," days"))))))</f>
        <v/>
      </c>
      <c r="H172" s="25" t="n"/>
      <c r="I172" s="25" t="n"/>
      <c r="J172" s="25" t="n"/>
      <c r="K172" s="25" t="n"/>
    </row>
    <row r="173" ht="18" customHeight="1">
      <c r="A173" s="25" t="n"/>
      <c r="B173" s="25" t="n"/>
      <c r="C173" s="26" t="n"/>
      <c r="D173" s="25" t="n"/>
      <c r="E173" s="25" t="n"/>
      <c r="F173" s="27">
        <f>IF($C173="","",$C173+7)</f>
        <v/>
      </c>
      <c r="G173" s="28">
        <f>IF($C173="","",IF(AND($E173&lt;&gt;"Applied",$E173&lt;&gt;""),"-",IF($H173="Yes","Followed up",IF(TODAY()&gt;$F173,"Overdue by "&amp;(TODAY()-$F173)&amp;IF(TODAY()-$F173=1," day"," days"),IF(TODAY()=$F173,"Follow up today","Due in "&amp;($F173-TODAY())&amp;IF($F173-TODAY()=1," day"," days"))))))</f>
        <v/>
      </c>
      <c r="H173" s="25" t="n"/>
      <c r="I173" s="25" t="n"/>
      <c r="J173" s="25" t="n"/>
      <c r="K173" s="25" t="n"/>
    </row>
    <row r="174" ht="18" customHeight="1">
      <c r="A174" s="25" t="n"/>
      <c r="B174" s="25" t="n"/>
      <c r="C174" s="26" t="n"/>
      <c r="D174" s="25" t="n"/>
      <c r="E174" s="25" t="n"/>
      <c r="F174" s="27">
        <f>IF($C174="","",$C174+7)</f>
        <v/>
      </c>
      <c r="G174" s="28">
        <f>IF($C174="","",IF(AND($E174&lt;&gt;"Applied",$E174&lt;&gt;""),"-",IF($H174="Yes","Followed up",IF(TODAY()&gt;$F174,"Overdue by "&amp;(TODAY()-$F174)&amp;IF(TODAY()-$F174=1," day"," days"),IF(TODAY()=$F174,"Follow up today","Due in "&amp;($F174-TODAY())&amp;IF($F174-TODAY()=1," day"," days"))))))</f>
        <v/>
      </c>
      <c r="H174" s="25" t="n"/>
      <c r="I174" s="25" t="n"/>
      <c r="J174" s="25" t="n"/>
      <c r="K174" s="25" t="n"/>
    </row>
    <row r="175" ht="18" customHeight="1">
      <c r="A175" s="25" t="n"/>
      <c r="B175" s="25" t="n"/>
      <c r="C175" s="26" t="n"/>
      <c r="D175" s="25" t="n"/>
      <c r="E175" s="25" t="n"/>
      <c r="F175" s="27">
        <f>IF($C175="","",$C175+7)</f>
        <v/>
      </c>
      <c r="G175" s="28">
        <f>IF($C175="","",IF(AND($E175&lt;&gt;"Applied",$E175&lt;&gt;""),"-",IF($H175="Yes","Followed up",IF(TODAY()&gt;$F175,"Overdue by "&amp;(TODAY()-$F175)&amp;IF(TODAY()-$F175=1," day"," days"),IF(TODAY()=$F175,"Follow up today","Due in "&amp;($F175-TODAY())&amp;IF($F175-TODAY()=1," day"," days"))))))</f>
        <v/>
      </c>
      <c r="H175" s="25" t="n"/>
      <c r="I175" s="25" t="n"/>
      <c r="J175" s="25" t="n"/>
      <c r="K175" s="25" t="n"/>
    </row>
    <row r="176" ht="18" customHeight="1">
      <c r="A176" s="25" t="n"/>
      <c r="B176" s="25" t="n"/>
      <c r="C176" s="26" t="n"/>
      <c r="D176" s="25" t="n"/>
      <c r="E176" s="25" t="n"/>
      <c r="F176" s="27">
        <f>IF($C176="","",$C176+7)</f>
        <v/>
      </c>
      <c r="G176" s="28">
        <f>IF($C176="","",IF(AND($E176&lt;&gt;"Applied",$E176&lt;&gt;""),"-",IF($H176="Yes","Followed up",IF(TODAY()&gt;$F176,"Overdue by "&amp;(TODAY()-$F176)&amp;IF(TODAY()-$F176=1," day"," days"),IF(TODAY()=$F176,"Follow up today","Due in "&amp;($F176-TODAY())&amp;IF($F176-TODAY()=1," day"," days"))))))</f>
        <v/>
      </c>
      <c r="H176" s="25" t="n"/>
      <c r="I176" s="25" t="n"/>
      <c r="J176" s="25" t="n"/>
      <c r="K176" s="25" t="n"/>
    </row>
    <row r="177" ht="18" customHeight="1">
      <c r="A177" s="25" t="n"/>
      <c r="B177" s="25" t="n"/>
      <c r="C177" s="26" t="n"/>
      <c r="D177" s="25" t="n"/>
      <c r="E177" s="25" t="n"/>
      <c r="F177" s="27">
        <f>IF($C177="","",$C177+7)</f>
        <v/>
      </c>
      <c r="G177" s="28">
        <f>IF($C177="","",IF(AND($E177&lt;&gt;"Applied",$E177&lt;&gt;""),"-",IF($H177="Yes","Followed up",IF(TODAY()&gt;$F177,"Overdue by "&amp;(TODAY()-$F177)&amp;IF(TODAY()-$F177=1," day"," days"),IF(TODAY()=$F177,"Follow up today","Due in "&amp;($F177-TODAY())&amp;IF($F177-TODAY()=1," day"," days"))))))</f>
        <v/>
      </c>
      <c r="H177" s="25" t="n"/>
      <c r="I177" s="25" t="n"/>
      <c r="J177" s="25" t="n"/>
      <c r="K177" s="25" t="n"/>
    </row>
    <row r="178" ht="18" customHeight="1">
      <c r="A178" s="25" t="n"/>
      <c r="B178" s="25" t="n"/>
      <c r="C178" s="26" t="n"/>
      <c r="D178" s="25" t="n"/>
      <c r="E178" s="25" t="n"/>
      <c r="F178" s="27">
        <f>IF($C178="","",$C178+7)</f>
        <v/>
      </c>
      <c r="G178" s="28">
        <f>IF($C178="","",IF(AND($E178&lt;&gt;"Applied",$E178&lt;&gt;""),"-",IF($H178="Yes","Followed up",IF(TODAY()&gt;$F178,"Overdue by "&amp;(TODAY()-$F178)&amp;IF(TODAY()-$F178=1," day"," days"),IF(TODAY()=$F178,"Follow up today","Due in "&amp;($F178-TODAY())&amp;IF($F178-TODAY()=1," day"," days"))))))</f>
        <v/>
      </c>
      <c r="H178" s="25" t="n"/>
      <c r="I178" s="25" t="n"/>
      <c r="J178" s="25" t="n"/>
      <c r="K178" s="25" t="n"/>
    </row>
    <row r="179" ht="18" customHeight="1">
      <c r="A179" s="25" t="n"/>
      <c r="B179" s="25" t="n"/>
      <c r="C179" s="26" t="n"/>
      <c r="D179" s="25" t="n"/>
      <c r="E179" s="25" t="n"/>
      <c r="F179" s="27">
        <f>IF($C179="","",$C179+7)</f>
        <v/>
      </c>
      <c r="G179" s="28">
        <f>IF($C179="","",IF(AND($E179&lt;&gt;"Applied",$E179&lt;&gt;""),"-",IF($H179="Yes","Followed up",IF(TODAY()&gt;$F179,"Overdue by "&amp;(TODAY()-$F179)&amp;IF(TODAY()-$F179=1," day"," days"),IF(TODAY()=$F179,"Follow up today","Due in "&amp;($F179-TODAY())&amp;IF($F179-TODAY()=1," day"," days"))))))</f>
        <v/>
      </c>
      <c r="H179" s="25" t="n"/>
      <c r="I179" s="25" t="n"/>
      <c r="J179" s="25" t="n"/>
      <c r="K179" s="25" t="n"/>
    </row>
    <row r="180" ht="18" customHeight="1">
      <c r="A180" s="25" t="n"/>
      <c r="B180" s="25" t="n"/>
      <c r="C180" s="26" t="n"/>
      <c r="D180" s="25" t="n"/>
      <c r="E180" s="25" t="n"/>
      <c r="F180" s="27">
        <f>IF($C180="","",$C180+7)</f>
        <v/>
      </c>
      <c r="G180" s="28">
        <f>IF($C180="","",IF(AND($E180&lt;&gt;"Applied",$E180&lt;&gt;""),"-",IF($H180="Yes","Followed up",IF(TODAY()&gt;$F180,"Overdue by "&amp;(TODAY()-$F180)&amp;IF(TODAY()-$F180=1," day"," days"),IF(TODAY()=$F180,"Follow up today","Due in "&amp;($F180-TODAY())&amp;IF($F180-TODAY()=1," day"," days"))))))</f>
        <v/>
      </c>
      <c r="H180" s="25" t="n"/>
      <c r="I180" s="25" t="n"/>
      <c r="J180" s="25" t="n"/>
      <c r="K180" s="25" t="n"/>
    </row>
    <row r="181" ht="18" customHeight="1">
      <c r="A181" s="25" t="n"/>
      <c r="B181" s="25" t="n"/>
      <c r="C181" s="26" t="n"/>
      <c r="D181" s="25" t="n"/>
      <c r="E181" s="25" t="n"/>
      <c r="F181" s="27">
        <f>IF($C181="","",$C181+7)</f>
        <v/>
      </c>
      <c r="G181" s="28">
        <f>IF($C181="","",IF(AND($E181&lt;&gt;"Applied",$E181&lt;&gt;""),"-",IF($H181="Yes","Followed up",IF(TODAY()&gt;$F181,"Overdue by "&amp;(TODAY()-$F181)&amp;IF(TODAY()-$F181=1," day"," days"),IF(TODAY()=$F181,"Follow up today","Due in "&amp;($F181-TODAY())&amp;IF($F181-TODAY()=1," day"," days"))))))</f>
        <v/>
      </c>
      <c r="H181" s="25" t="n"/>
      <c r="I181" s="25" t="n"/>
      <c r="J181" s="25" t="n"/>
      <c r="K181" s="25" t="n"/>
    </row>
    <row r="182" ht="18" customHeight="1">
      <c r="A182" s="25" t="n"/>
      <c r="B182" s="25" t="n"/>
      <c r="C182" s="26" t="n"/>
      <c r="D182" s="25" t="n"/>
      <c r="E182" s="25" t="n"/>
      <c r="F182" s="27">
        <f>IF($C182="","",$C182+7)</f>
        <v/>
      </c>
      <c r="G182" s="28">
        <f>IF($C182="","",IF(AND($E182&lt;&gt;"Applied",$E182&lt;&gt;""),"-",IF($H182="Yes","Followed up",IF(TODAY()&gt;$F182,"Overdue by "&amp;(TODAY()-$F182)&amp;IF(TODAY()-$F182=1," day"," days"),IF(TODAY()=$F182,"Follow up today","Due in "&amp;($F182-TODAY())&amp;IF($F182-TODAY()=1," day"," days"))))))</f>
        <v/>
      </c>
      <c r="H182" s="25" t="n"/>
      <c r="I182" s="25" t="n"/>
      <c r="J182" s="25" t="n"/>
      <c r="K182" s="25" t="n"/>
    </row>
    <row r="183" ht="18" customHeight="1">
      <c r="A183" s="25" t="n"/>
      <c r="B183" s="25" t="n"/>
      <c r="C183" s="26" t="n"/>
      <c r="D183" s="25" t="n"/>
      <c r="E183" s="25" t="n"/>
      <c r="F183" s="27">
        <f>IF($C183="","",$C183+7)</f>
        <v/>
      </c>
      <c r="G183" s="28">
        <f>IF($C183="","",IF(AND($E183&lt;&gt;"Applied",$E183&lt;&gt;""),"-",IF($H183="Yes","Followed up",IF(TODAY()&gt;$F183,"Overdue by "&amp;(TODAY()-$F183)&amp;IF(TODAY()-$F183=1," day"," days"),IF(TODAY()=$F183,"Follow up today","Due in "&amp;($F183-TODAY())&amp;IF($F183-TODAY()=1," day"," days"))))))</f>
        <v/>
      </c>
      <c r="H183" s="25" t="n"/>
      <c r="I183" s="25" t="n"/>
      <c r="J183" s="25" t="n"/>
      <c r="K183" s="25" t="n"/>
    </row>
    <row r="184" ht="18" customHeight="1">
      <c r="A184" s="25" t="n"/>
      <c r="B184" s="25" t="n"/>
      <c r="C184" s="26" t="n"/>
      <c r="D184" s="25" t="n"/>
      <c r="E184" s="25" t="n"/>
      <c r="F184" s="27">
        <f>IF($C184="","",$C184+7)</f>
        <v/>
      </c>
      <c r="G184" s="28">
        <f>IF($C184="","",IF(AND($E184&lt;&gt;"Applied",$E184&lt;&gt;""),"-",IF($H184="Yes","Followed up",IF(TODAY()&gt;$F184,"Overdue by "&amp;(TODAY()-$F184)&amp;IF(TODAY()-$F184=1," day"," days"),IF(TODAY()=$F184,"Follow up today","Due in "&amp;($F184-TODAY())&amp;IF($F184-TODAY()=1," day"," days"))))))</f>
        <v/>
      </c>
      <c r="H184" s="25" t="n"/>
      <c r="I184" s="25" t="n"/>
      <c r="J184" s="25" t="n"/>
      <c r="K184" s="25" t="n"/>
    </row>
    <row r="185" ht="18" customHeight="1">
      <c r="A185" s="25" t="n"/>
      <c r="B185" s="25" t="n"/>
      <c r="C185" s="26" t="n"/>
      <c r="D185" s="25" t="n"/>
      <c r="E185" s="25" t="n"/>
      <c r="F185" s="27">
        <f>IF($C185="","",$C185+7)</f>
        <v/>
      </c>
      <c r="G185" s="28">
        <f>IF($C185="","",IF(AND($E185&lt;&gt;"Applied",$E185&lt;&gt;""),"-",IF($H185="Yes","Followed up",IF(TODAY()&gt;$F185,"Overdue by "&amp;(TODAY()-$F185)&amp;IF(TODAY()-$F185=1," day"," days"),IF(TODAY()=$F185,"Follow up today","Due in "&amp;($F185-TODAY())&amp;IF($F185-TODAY()=1," day"," days"))))))</f>
        <v/>
      </c>
      <c r="H185" s="25" t="n"/>
      <c r="I185" s="25" t="n"/>
      <c r="J185" s="25" t="n"/>
      <c r="K185" s="25" t="n"/>
    </row>
    <row r="186" ht="18" customHeight="1">
      <c r="A186" s="25" t="n"/>
      <c r="B186" s="25" t="n"/>
      <c r="C186" s="26" t="n"/>
      <c r="D186" s="25" t="n"/>
      <c r="E186" s="25" t="n"/>
      <c r="F186" s="27">
        <f>IF($C186="","",$C186+7)</f>
        <v/>
      </c>
      <c r="G186" s="28">
        <f>IF($C186="","",IF(AND($E186&lt;&gt;"Applied",$E186&lt;&gt;""),"-",IF($H186="Yes","Followed up",IF(TODAY()&gt;$F186,"Overdue by "&amp;(TODAY()-$F186)&amp;IF(TODAY()-$F186=1," day"," days"),IF(TODAY()=$F186,"Follow up today","Due in "&amp;($F186-TODAY())&amp;IF($F186-TODAY()=1," day"," days"))))))</f>
        <v/>
      </c>
      <c r="H186" s="25" t="n"/>
      <c r="I186" s="25" t="n"/>
      <c r="J186" s="25" t="n"/>
      <c r="K186" s="25" t="n"/>
    </row>
    <row r="187" ht="18" customHeight="1">
      <c r="A187" s="25" t="n"/>
      <c r="B187" s="25" t="n"/>
      <c r="C187" s="26" t="n"/>
      <c r="D187" s="25" t="n"/>
      <c r="E187" s="25" t="n"/>
      <c r="F187" s="27">
        <f>IF($C187="","",$C187+7)</f>
        <v/>
      </c>
      <c r="G187" s="28">
        <f>IF($C187="","",IF(AND($E187&lt;&gt;"Applied",$E187&lt;&gt;""),"-",IF($H187="Yes","Followed up",IF(TODAY()&gt;$F187,"Overdue by "&amp;(TODAY()-$F187)&amp;IF(TODAY()-$F187=1," day"," days"),IF(TODAY()=$F187,"Follow up today","Due in "&amp;($F187-TODAY())&amp;IF($F187-TODAY()=1," day"," days"))))))</f>
        <v/>
      </c>
      <c r="H187" s="25" t="n"/>
      <c r="I187" s="25" t="n"/>
      <c r="J187" s="25" t="n"/>
      <c r="K187" s="25" t="n"/>
    </row>
    <row r="188" ht="18" customHeight="1">
      <c r="A188" s="25" t="n"/>
      <c r="B188" s="25" t="n"/>
      <c r="C188" s="26" t="n"/>
      <c r="D188" s="25" t="n"/>
      <c r="E188" s="25" t="n"/>
      <c r="F188" s="27">
        <f>IF($C188="","",$C188+7)</f>
        <v/>
      </c>
      <c r="G188" s="28">
        <f>IF($C188="","",IF(AND($E188&lt;&gt;"Applied",$E188&lt;&gt;""),"-",IF($H188="Yes","Followed up",IF(TODAY()&gt;$F188,"Overdue by "&amp;(TODAY()-$F188)&amp;IF(TODAY()-$F188=1," day"," days"),IF(TODAY()=$F188,"Follow up today","Due in "&amp;($F188-TODAY())&amp;IF($F188-TODAY()=1," day"," days"))))))</f>
        <v/>
      </c>
      <c r="H188" s="25" t="n"/>
      <c r="I188" s="25" t="n"/>
      <c r="J188" s="25" t="n"/>
      <c r="K188" s="25" t="n"/>
    </row>
    <row r="189" ht="18" customHeight="1">
      <c r="A189" s="25" t="n"/>
      <c r="B189" s="25" t="n"/>
      <c r="C189" s="26" t="n"/>
      <c r="D189" s="25" t="n"/>
      <c r="E189" s="25" t="n"/>
      <c r="F189" s="27">
        <f>IF($C189="","",$C189+7)</f>
        <v/>
      </c>
      <c r="G189" s="28">
        <f>IF($C189="","",IF(AND($E189&lt;&gt;"Applied",$E189&lt;&gt;""),"-",IF($H189="Yes","Followed up",IF(TODAY()&gt;$F189,"Overdue by "&amp;(TODAY()-$F189)&amp;IF(TODAY()-$F189=1," day"," days"),IF(TODAY()=$F189,"Follow up today","Due in "&amp;($F189-TODAY())&amp;IF($F189-TODAY()=1," day"," days"))))))</f>
        <v/>
      </c>
      <c r="H189" s="25" t="n"/>
      <c r="I189" s="25" t="n"/>
      <c r="J189" s="25" t="n"/>
      <c r="K189" s="25" t="n"/>
    </row>
    <row r="190" ht="18" customHeight="1">
      <c r="A190" s="25" t="n"/>
      <c r="B190" s="25" t="n"/>
      <c r="C190" s="26" t="n"/>
      <c r="D190" s="25" t="n"/>
      <c r="E190" s="25" t="n"/>
      <c r="F190" s="27">
        <f>IF($C190="","",$C190+7)</f>
        <v/>
      </c>
      <c r="G190" s="28">
        <f>IF($C190="","",IF(AND($E190&lt;&gt;"Applied",$E190&lt;&gt;""),"-",IF($H190="Yes","Followed up",IF(TODAY()&gt;$F190,"Overdue by "&amp;(TODAY()-$F190)&amp;IF(TODAY()-$F190=1," day"," days"),IF(TODAY()=$F190,"Follow up today","Due in "&amp;($F190-TODAY())&amp;IF($F190-TODAY()=1," day"," days"))))))</f>
        <v/>
      </c>
      <c r="H190" s="25" t="n"/>
      <c r="I190" s="25" t="n"/>
      <c r="J190" s="25" t="n"/>
      <c r="K190" s="25" t="n"/>
    </row>
    <row r="191" ht="18" customHeight="1">
      <c r="A191" s="25" t="n"/>
      <c r="B191" s="25" t="n"/>
      <c r="C191" s="26" t="n"/>
      <c r="D191" s="25" t="n"/>
      <c r="E191" s="25" t="n"/>
      <c r="F191" s="27">
        <f>IF($C191="","",$C191+7)</f>
        <v/>
      </c>
      <c r="G191" s="28">
        <f>IF($C191="","",IF(AND($E191&lt;&gt;"Applied",$E191&lt;&gt;""),"-",IF($H191="Yes","Followed up",IF(TODAY()&gt;$F191,"Overdue by "&amp;(TODAY()-$F191)&amp;IF(TODAY()-$F191=1," day"," days"),IF(TODAY()=$F191,"Follow up today","Due in "&amp;($F191-TODAY())&amp;IF($F191-TODAY()=1," day"," days"))))))</f>
        <v/>
      </c>
      <c r="H191" s="25" t="n"/>
      <c r="I191" s="25" t="n"/>
      <c r="J191" s="25" t="n"/>
      <c r="K191" s="25" t="n"/>
    </row>
    <row r="192" ht="18" customHeight="1">
      <c r="A192" s="25" t="n"/>
      <c r="B192" s="25" t="n"/>
      <c r="C192" s="26" t="n"/>
      <c r="D192" s="25" t="n"/>
      <c r="E192" s="25" t="n"/>
      <c r="F192" s="27">
        <f>IF($C192="","",$C192+7)</f>
        <v/>
      </c>
      <c r="G192" s="28">
        <f>IF($C192="","",IF(AND($E192&lt;&gt;"Applied",$E192&lt;&gt;""),"-",IF($H192="Yes","Followed up",IF(TODAY()&gt;$F192,"Overdue by "&amp;(TODAY()-$F192)&amp;IF(TODAY()-$F192=1," day"," days"),IF(TODAY()=$F192,"Follow up today","Due in "&amp;($F192-TODAY())&amp;IF($F192-TODAY()=1," day"," days"))))))</f>
        <v/>
      </c>
      <c r="H192" s="25" t="n"/>
      <c r="I192" s="25" t="n"/>
      <c r="J192" s="25" t="n"/>
      <c r="K192" s="25" t="n"/>
    </row>
    <row r="193" ht="18" customHeight="1">
      <c r="A193" s="25" t="n"/>
      <c r="B193" s="25" t="n"/>
      <c r="C193" s="26" t="n"/>
      <c r="D193" s="25" t="n"/>
      <c r="E193" s="25" t="n"/>
      <c r="F193" s="27">
        <f>IF($C193="","",$C193+7)</f>
        <v/>
      </c>
      <c r="G193" s="28">
        <f>IF($C193="","",IF(AND($E193&lt;&gt;"Applied",$E193&lt;&gt;""),"-",IF($H193="Yes","Followed up",IF(TODAY()&gt;$F193,"Overdue by "&amp;(TODAY()-$F193)&amp;IF(TODAY()-$F193=1," day"," days"),IF(TODAY()=$F193,"Follow up today","Due in "&amp;($F193-TODAY())&amp;IF($F193-TODAY()=1," day"," days"))))))</f>
        <v/>
      </c>
      <c r="H193" s="25" t="n"/>
      <c r="I193" s="25" t="n"/>
      <c r="J193" s="25" t="n"/>
      <c r="K193" s="25" t="n"/>
    </row>
    <row r="194" ht="18" customHeight="1">
      <c r="A194" s="25" t="n"/>
      <c r="B194" s="25" t="n"/>
      <c r="C194" s="26" t="n"/>
      <c r="D194" s="25" t="n"/>
      <c r="E194" s="25" t="n"/>
      <c r="F194" s="27">
        <f>IF($C194="","",$C194+7)</f>
        <v/>
      </c>
      <c r="G194" s="28">
        <f>IF($C194="","",IF(AND($E194&lt;&gt;"Applied",$E194&lt;&gt;""),"-",IF($H194="Yes","Followed up",IF(TODAY()&gt;$F194,"Overdue by "&amp;(TODAY()-$F194)&amp;IF(TODAY()-$F194=1," day"," days"),IF(TODAY()=$F194,"Follow up today","Due in "&amp;($F194-TODAY())&amp;IF($F194-TODAY()=1," day"," days"))))))</f>
        <v/>
      </c>
      <c r="H194" s="25" t="n"/>
      <c r="I194" s="25" t="n"/>
      <c r="J194" s="25" t="n"/>
      <c r="K194" s="25" t="n"/>
    </row>
    <row r="195" ht="18" customHeight="1">
      <c r="A195" s="25" t="n"/>
      <c r="B195" s="25" t="n"/>
      <c r="C195" s="26" t="n"/>
      <c r="D195" s="25" t="n"/>
      <c r="E195" s="25" t="n"/>
      <c r="F195" s="27">
        <f>IF($C195="","",$C195+7)</f>
        <v/>
      </c>
      <c r="G195" s="28">
        <f>IF($C195="","",IF(AND($E195&lt;&gt;"Applied",$E195&lt;&gt;""),"-",IF($H195="Yes","Followed up",IF(TODAY()&gt;$F195,"Overdue by "&amp;(TODAY()-$F195)&amp;IF(TODAY()-$F195=1," day"," days"),IF(TODAY()=$F195,"Follow up today","Due in "&amp;($F195-TODAY())&amp;IF($F195-TODAY()=1," day"," days"))))))</f>
        <v/>
      </c>
      <c r="H195" s="25" t="n"/>
      <c r="I195" s="25" t="n"/>
      <c r="J195" s="25" t="n"/>
      <c r="K195" s="25" t="n"/>
    </row>
    <row r="196" ht="18" customHeight="1">
      <c r="A196" s="25" t="n"/>
      <c r="B196" s="25" t="n"/>
      <c r="C196" s="26" t="n"/>
      <c r="D196" s="25" t="n"/>
      <c r="E196" s="25" t="n"/>
      <c r="F196" s="27">
        <f>IF($C196="","",$C196+7)</f>
        <v/>
      </c>
      <c r="G196" s="28">
        <f>IF($C196="","",IF(AND($E196&lt;&gt;"Applied",$E196&lt;&gt;""),"-",IF($H196="Yes","Followed up",IF(TODAY()&gt;$F196,"Overdue by "&amp;(TODAY()-$F196)&amp;IF(TODAY()-$F196=1," day"," days"),IF(TODAY()=$F196,"Follow up today","Due in "&amp;($F196-TODAY())&amp;IF($F196-TODAY()=1," day"," days"))))))</f>
        <v/>
      </c>
      <c r="H196" s="25" t="n"/>
      <c r="I196" s="25" t="n"/>
      <c r="J196" s="25" t="n"/>
      <c r="K196" s="25" t="n"/>
    </row>
    <row r="197" ht="18" customHeight="1">
      <c r="A197" s="25" t="n"/>
      <c r="B197" s="25" t="n"/>
      <c r="C197" s="26" t="n"/>
      <c r="D197" s="25" t="n"/>
      <c r="E197" s="25" t="n"/>
      <c r="F197" s="27">
        <f>IF($C197="","",$C197+7)</f>
        <v/>
      </c>
      <c r="G197" s="28">
        <f>IF($C197="","",IF(AND($E197&lt;&gt;"Applied",$E197&lt;&gt;""),"-",IF($H197="Yes","Followed up",IF(TODAY()&gt;$F197,"Overdue by "&amp;(TODAY()-$F197)&amp;IF(TODAY()-$F197=1," day"," days"),IF(TODAY()=$F197,"Follow up today","Due in "&amp;($F197-TODAY())&amp;IF($F197-TODAY()=1," day"," days"))))))</f>
        <v/>
      </c>
      <c r="H197" s="25" t="n"/>
      <c r="I197" s="25" t="n"/>
      <c r="J197" s="25" t="n"/>
      <c r="K197" s="25" t="n"/>
    </row>
    <row r="198" ht="18" customHeight="1">
      <c r="A198" s="25" t="n"/>
      <c r="B198" s="25" t="n"/>
      <c r="C198" s="26" t="n"/>
      <c r="D198" s="25" t="n"/>
      <c r="E198" s="25" t="n"/>
      <c r="F198" s="27">
        <f>IF($C198="","",$C198+7)</f>
        <v/>
      </c>
      <c r="G198" s="28">
        <f>IF($C198="","",IF(AND($E198&lt;&gt;"Applied",$E198&lt;&gt;""),"-",IF($H198="Yes","Followed up",IF(TODAY()&gt;$F198,"Overdue by "&amp;(TODAY()-$F198)&amp;IF(TODAY()-$F198=1," day"," days"),IF(TODAY()=$F198,"Follow up today","Due in "&amp;($F198-TODAY())&amp;IF($F198-TODAY()=1," day"," days"))))))</f>
        <v/>
      </c>
      <c r="H198" s="25" t="n"/>
      <c r="I198" s="25" t="n"/>
      <c r="J198" s="25" t="n"/>
      <c r="K198" s="25" t="n"/>
    </row>
    <row r="199" ht="18" customHeight="1">
      <c r="A199" s="25" t="n"/>
      <c r="B199" s="25" t="n"/>
      <c r="C199" s="26" t="n"/>
      <c r="D199" s="25" t="n"/>
      <c r="E199" s="25" t="n"/>
      <c r="F199" s="27">
        <f>IF($C199="","",$C199+7)</f>
        <v/>
      </c>
      <c r="G199" s="28">
        <f>IF($C199="","",IF(AND($E199&lt;&gt;"Applied",$E199&lt;&gt;""),"-",IF($H199="Yes","Followed up",IF(TODAY()&gt;$F199,"Overdue by "&amp;(TODAY()-$F199)&amp;IF(TODAY()-$F199=1," day"," days"),IF(TODAY()=$F199,"Follow up today","Due in "&amp;($F199-TODAY())&amp;IF($F199-TODAY()=1," day"," days"))))))</f>
        <v/>
      </c>
      <c r="H199" s="25" t="n"/>
      <c r="I199" s="25" t="n"/>
      <c r="J199" s="25" t="n"/>
      <c r="K199" s="25" t="n"/>
    </row>
    <row r="200" ht="18" customHeight="1">
      <c r="A200" s="25" t="n"/>
      <c r="B200" s="25" t="n"/>
      <c r="C200" s="26" t="n"/>
      <c r="D200" s="25" t="n"/>
      <c r="E200" s="25" t="n"/>
      <c r="F200" s="27">
        <f>IF($C200="","",$C200+7)</f>
        <v/>
      </c>
      <c r="G200" s="28">
        <f>IF($C200="","",IF(AND($E200&lt;&gt;"Applied",$E200&lt;&gt;""),"-",IF($H200="Yes","Followed up",IF(TODAY()&gt;$F200,"Overdue by "&amp;(TODAY()-$F200)&amp;IF(TODAY()-$F200=1," day"," days"),IF(TODAY()=$F200,"Follow up today","Due in "&amp;($F200-TODAY())&amp;IF($F200-TODAY()=1," day"," days"))))))</f>
        <v/>
      </c>
      <c r="H200" s="25" t="n"/>
      <c r="I200" s="25" t="n"/>
      <c r="J200" s="25" t="n"/>
      <c r="K200" s="25" t="n"/>
    </row>
    <row r="201" ht="18" customHeight="1">
      <c r="A201" s="25" t="n"/>
      <c r="B201" s="25" t="n"/>
      <c r="C201" s="26" t="n"/>
      <c r="D201" s="25" t="n"/>
      <c r="E201" s="25" t="n"/>
      <c r="F201" s="27">
        <f>IF($C201="","",$C201+7)</f>
        <v/>
      </c>
      <c r="G201" s="28">
        <f>IF($C201="","",IF(AND($E201&lt;&gt;"Applied",$E201&lt;&gt;""),"-",IF($H201="Yes","Followed up",IF(TODAY()&gt;$F201,"Overdue by "&amp;(TODAY()-$F201)&amp;IF(TODAY()-$F201=1," day"," days"),IF(TODAY()=$F201,"Follow up today","Due in "&amp;($F201-TODAY())&amp;IF($F201-TODAY()=1," day"," days"))))))</f>
        <v/>
      </c>
      <c r="H201" s="25" t="n"/>
      <c r="I201" s="25" t="n"/>
      <c r="J201" s="25" t="n"/>
      <c r="K201" s="25" t="n"/>
    </row>
    <row r="202" ht="18" customHeight="1">
      <c r="A202" s="25" t="n"/>
      <c r="B202" s="25" t="n"/>
      <c r="C202" s="26" t="n"/>
      <c r="D202" s="25" t="n"/>
      <c r="E202" s="25" t="n"/>
      <c r="F202" s="27">
        <f>IF($C202="","",$C202+7)</f>
        <v/>
      </c>
      <c r="G202" s="28">
        <f>IF($C202="","",IF(AND($E202&lt;&gt;"Applied",$E202&lt;&gt;""),"-",IF($H202="Yes","Followed up",IF(TODAY()&gt;$F202,"Overdue by "&amp;(TODAY()-$F202)&amp;IF(TODAY()-$F202=1," day"," days"),IF(TODAY()=$F202,"Follow up today","Due in "&amp;($F202-TODAY())&amp;IF($F202-TODAY()=1," day"," days"))))))</f>
        <v/>
      </c>
      <c r="H202" s="25" t="n"/>
      <c r="I202" s="25" t="n"/>
      <c r="J202" s="25" t="n"/>
      <c r="K202" s="25" t="n"/>
    </row>
    <row r="203" ht="18" customHeight="1">
      <c r="A203" s="25" t="n"/>
      <c r="B203" s="25" t="n"/>
      <c r="C203" s="26" t="n"/>
      <c r="D203" s="25" t="n"/>
      <c r="E203" s="25" t="n"/>
      <c r="F203" s="27">
        <f>IF($C203="","",$C203+7)</f>
        <v/>
      </c>
      <c r="G203" s="28">
        <f>IF($C203="","",IF(AND($E203&lt;&gt;"Applied",$E203&lt;&gt;""),"-",IF($H203="Yes","Followed up",IF(TODAY()&gt;$F203,"Overdue by "&amp;(TODAY()-$F203)&amp;IF(TODAY()-$F203=1," day"," days"),IF(TODAY()=$F203,"Follow up today","Due in "&amp;($F203-TODAY())&amp;IF($F203-TODAY()=1," day"," days"))))))</f>
        <v/>
      </c>
      <c r="H203" s="25" t="n"/>
      <c r="I203" s="25" t="n"/>
      <c r="J203" s="25" t="n"/>
      <c r="K203" s="25" t="n"/>
    </row>
    <row r="204" ht="18" customHeight="1">
      <c r="A204" s="25" t="n"/>
      <c r="B204" s="25" t="n"/>
      <c r="C204" s="26" t="n"/>
      <c r="D204" s="25" t="n"/>
      <c r="E204" s="25" t="n"/>
      <c r="F204" s="27">
        <f>IF($C204="","",$C204+7)</f>
        <v/>
      </c>
      <c r="G204" s="28">
        <f>IF($C204="","",IF(AND($E204&lt;&gt;"Applied",$E204&lt;&gt;""),"-",IF($H204="Yes","Followed up",IF(TODAY()&gt;$F204,"Overdue by "&amp;(TODAY()-$F204)&amp;IF(TODAY()-$F204=1," day"," days"),IF(TODAY()=$F204,"Follow up today","Due in "&amp;($F204-TODAY())&amp;IF($F204-TODAY()=1," day"," days"))))))</f>
        <v/>
      </c>
      <c r="H204" s="25" t="n"/>
      <c r="I204" s="25" t="n"/>
      <c r="J204" s="25" t="n"/>
      <c r="K204" s="25" t="n"/>
    </row>
    <row r="205" ht="18" customHeight="1">
      <c r="A205" s="25" t="n"/>
      <c r="B205" s="25" t="n"/>
      <c r="C205" s="26" t="n"/>
      <c r="D205" s="25" t="n"/>
      <c r="E205" s="25" t="n"/>
      <c r="F205" s="27">
        <f>IF($C205="","",$C205+7)</f>
        <v/>
      </c>
      <c r="G205" s="28">
        <f>IF($C205="","",IF(AND($E205&lt;&gt;"Applied",$E205&lt;&gt;""),"-",IF($H205="Yes","Followed up",IF(TODAY()&gt;$F205,"Overdue by "&amp;(TODAY()-$F205)&amp;IF(TODAY()-$F205=1," day"," days"),IF(TODAY()=$F205,"Follow up today","Due in "&amp;($F205-TODAY())&amp;IF($F205-TODAY()=1," day"," days"))))))</f>
        <v/>
      </c>
      <c r="H205" s="25" t="n"/>
      <c r="I205" s="25" t="n"/>
      <c r="J205" s="25" t="n"/>
      <c r="K205" s="25" t="n"/>
    </row>
    <row r="206" ht="18" customHeight="1">
      <c r="A206" s="25" t="n"/>
      <c r="B206" s="25" t="n"/>
      <c r="C206" s="26" t="n"/>
      <c r="D206" s="25" t="n"/>
      <c r="E206" s="25" t="n"/>
      <c r="F206" s="27">
        <f>IF($C206="","",$C206+7)</f>
        <v/>
      </c>
      <c r="G206" s="28">
        <f>IF($C206="","",IF(AND($E206&lt;&gt;"Applied",$E206&lt;&gt;""),"-",IF($H206="Yes","Followed up",IF(TODAY()&gt;$F206,"Overdue by "&amp;(TODAY()-$F206)&amp;IF(TODAY()-$F206=1," day"," days"),IF(TODAY()=$F206,"Follow up today","Due in "&amp;($F206-TODAY())&amp;IF($F206-TODAY()=1," day"," days"))))))</f>
        <v/>
      </c>
      <c r="H206" s="25" t="n"/>
      <c r="I206" s="25" t="n"/>
      <c r="J206" s="25" t="n"/>
      <c r="K206" s="25" t="n"/>
    </row>
    <row r="207" ht="18" customHeight="1">
      <c r="A207" s="25" t="n"/>
      <c r="B207" s="25" t="n"/>
      <c r="C207" s="26" t="n"/>
      <c r="D207" s="25" t="n"/>
      <c r="E207" s="25" t="n"/>
      <c r="F207" s="27">
        <f>IF($C207="","",$C207+7)</f>
        <v/>
      </c>
      <c r="G207" s="28">
        <f>IF($C207="","",IF(AND($E207&lt;&gt;"Applied",$E207&lt;&gt;""),"-",IF($H207="Yes","Followed up",IF(TODAY()&gt;$F207,"Overdue by "&amp;(TODAY()-$F207)&amp;IF(TODAY()-$F207=1," day"," days"),IF(TODAY()=$F207,"Follow up today","Due in "&amp;($F207-TODAY())&amp;IF($F207-TODAY()=1," day"," days"))))))</f>
        <v/>
      </c>
      <c r="H207" s="25" t="n"/>
      <c r="I207" s="25" t="n"/>
      <c r="J207" s="25" t="n"/>
      <c r="K207" s="25" t="n"/>
    </row>
    <row r="208" ht="18" customHeight="1">
      <c r="A208" s="25" t="n"/>
      <c r="B208" s="25" t="n"/>
      <c r="C208" s="26" t="n"/>
      <c r="D208" s="25" t="n"/>
      <c r="E208" s="25" t="n"/>
      <c r="F208" s="27">
        <f>IF($C208="","",$C208+7)</f>
        <v/>
      </c>
      <c r="G208" s="28">
        <f>IF($C208="","",IF(AND($E208&lt;&gt;"Applied",$E208&lt;&gt;""),"-",IF($H208="Yes","Followed up",IF(TODAY()&gt;$F208,"Overdue by "&amp;(TODAY()-$F208)&amp;IF(TODAY()-$F208=1," day"," days"),IF(TODAY()=$F208,"Follow up today","Due in "&amp;($F208-TODAY())&amp;IF($F208-TODAY()=1," day"," days"))))))</f>
        <v/>
      </c>
      <c r="H208" s="25" t="n"/>
      <c r="I208" s="25" t="n"/>
      <c r="J208" s="25" t="n"/>
      <c r="K208" s="25" t="n"/>
    </row>
    <row r="209" ht="18" customHeight="1">
      <c r="A209" s="25" t="n"/>
      <c r="B209" s="25" t="n"/>
      <c r="C209" s="26" t="n"/>
      <c r="D209" s="25" t="n"/>
      <c r="E209" s="25" t="n"/>
      <c r="F209" s="27">
        <f>IF($C209="","",$C209+7)</f>
        <v/>
      </c>
      <c r="G209" s="28">
        <f>IF($C209="","",IF(AND($E209&lt;&gt;"Applied",$E209&lt;&gt;""),"-",IF($H209="Yes","Followed up",IF(TODAY()&gt;$F209,"Overdue by "&amp;(TODAY()-$F209)&amp;IF(TODAY()-$F209=1," day"," days"),IF(TODAY()=$F209,"Follow up today","Due in "&amp;($F209-TODAY())&amp;IF($F209-TODAY()=1," day"," days"))))))</f>
        <v/>
      </c>
      <c r="H209" s="25" t="n"/>
      <c r="I209" s="25" t="n"/>
      <c r="J209" s="25" t="n"/>
      <c r="K209" s="25" t="n"/>
    </row>
    <row r="210" ht="18" customHeight="1">
      <c r="A210" s="25" t="n"/>
      <c r="B210" s="25" t="n"/>
      <c r="C210" s="26" t="n"/>
      <c r="D210" s="25" t="n"/>
      <c r="E210" s="25" t="n"/>
      <c r="F210" s="27">
        <f>IF($C210="","",$C210+7)</f>
        <v/>
      </c>
      <c r="G210" s="28">
        <f>IF($C210="","",IF(AND($E210&lt;&gt;"Applied",$E210&lt;&gt;""),"-",IF($H210="Yes","Followed up",IF(TODAY()&gt;$F210,"Overdue by "&amp;(TODAY()-$F210)&amp;IF(TODAY()-$F210=1," day"," days"),IF(TODAY()=$F210,"Follow up today","Due in "&amp;($F210-TODAY())&amp;IF($F210-TODAY()=1," day"," days"))))))</f>
        <v/>
      </c>
      <c r="H210" s="25" t="n"/>
      <c r="I210" s="25" t="n"/>
      <c r="J210" s="25" t="n"/>
      <c r="K210" s="25" t="n"/>
    </row>
    <row r="211" ht="18" customHeight="1">
      <c r="A211" s="25" t="n"/>
      <c r="B211" s="25" t="n"/>
      <c r="C211" s="26" t="n"/>
      <c r="D211" s="25" t="n"/>
      <c r="E211" s="25" t="n"/>
      <c r="F211" s="27">
        <f>IF($C211="","",$C211+7)</f>
        <v/>
      </c>
      <c r="G211" s="28">
        <f>IF($C211="","",IF(AND($E211&lt;&gt;"Applied",$E211&lt;&gt;""),"-",IF($H211="Yes","Followed up",IF(TODAY()&gt;$F211,"Overdue by "&amp;(TODAY()-$F211)&amp;IF(TODAY()-$F211=1," day"," days"),IF(TODAY()=$F211,"Follow up today","Due in "&amp;($F211-TODAY())&amp;IF($F211-TODAY()=1," day"," days"))))))</f>
        <v/>
      </c>
      <c r="H211" s="25" t="n"/>
      <c r="I211" s="25" t="n"/>
      <c r="J211" s="25" t="n"/>
      <c r="K211" s="25" t="n"/>
    </row>
    <row r="212" ht="18" customHeight="1">
      <c r="A212" s="25" t="n"/>
      <c r="B212" s="25" t="n"/>
      <c r="C212" s="26" t="n"/>
      <c r="D212" s="25" t="n"/>
      <c r="E212" s="25" t="n"/>
      <c r="F212" s="27">
        <f>IF($C212="","",$C212+7)</f>
        <v/>
      </c>
      <c r="G212" s="28">
        <f>IF($C212="","",IF(AND($E212&lt;&gt;"Applied",$E212&lt;&gt;""),"-",IF($H212="Yes","Followed up",IF(TODAY()&gt;$F212,"Overdue by "&amp;(TODAY()-$F212)&amp;IF(TODAY()-$F212=1," day"," days"),IF(TODAY()=$F212,"Follow up today","Due in "&amp;($F212-TODAY())&amp;IF($F212-TODAY()=1," day"," days"))))))</f>
        <v/>
      </c>
      <c r="H212" s="25" t="n"/>
      <c r="I212" s="25" t="n"/>
      <c r="J212" s="25" t="n"/>
      <c r="K212" s="25" t="n"/>
    </row>
    <row r="213" ht="18" customHeight="1">
      <c r="A213" s="25" t="n"/>
      <c r="B213" s="25" t="n"/>
      <c r="C213" s="26" t="n"/>
      <c r="D213" s="25" t="n"/>
      <c r="E213" s="25" t="n"/>
      <c r="F213" s="27">
        <f>IF($C213="","",$C213+7)</f>
        <v/>
      </c>
      <c r="G213" s="28">
        <f>IF($C213="","",IF(AND($E213&lt;&gt;"Applied",$E213&lt;&gt;""),"-",IF($H213="Yes","Followed up",IF(TODAY()&gt;$F213,"Overdue by "&amp;(TODAY()-$F213)&amp;IF(TODAY()-$F213=1," day"," days"),IF(TODAY()=$F213,"Follow up today","Due in "&amp;($F213-TODAY())&amp;IF($F213-TODAY()=1," day"," days"))))))</f>
        <v/>
      </c>
      <c r="H213" s="25" t="n"/>
      <c r="I213" s="25" t="n"/>
      <c r="J213" s="25" t="n"/>
      <c r="K213" s="25" t="n"/>
    </row>
    <row r="214" ht="18" customHeight="1">
      <c r="A214" s="25" t="n"/>
      <c r="B214" s="25" t="n"/>
      <c r="C214" s="26" t="n"/>
      <c r="D214" s="25" t="n"/>
      <c r="E214" s="25" t="n"/>
      <c r="F214" s="27">
        <f>IF($C214="","",$C214+7)</f>
        <v/>
      </c>
      <c r="G214" s="28">
        <f>IF($C214="","",IF(AND($E214&lt;&gt;"Applied",$E214&lt;&gt;""),"-",IF($H214="Yes","Followed up",IF(TODAY()&gt;$F214,"Overdue by "&amp;(TODAY()-$F214)&amp;IF(TODAY()-$F214=1," day"," days"),IF(TODAY()=$F214,"Follow up today","Due in "&amp;($F214-TODAY())&amp;IF($F214-TODAY()=1," day"," days"))))))</f>
        <v/>
      </c>
      <c r="H214" s="25" t="n"/>
      <c r="I214" s="25" t="n"/>
      <c r="J214" s="25" t="n"/>
      <c r="K214" s="25" t="n"/>
    </row>
    <row r="215" ht="18" customHeight="1">
      <c r="A215" s="25" t="n"/>
      <c r="B215" s="25" t="n"/>
      <c r="C215" s="26" t="n"/>
      <c r="D215" s="25" t="n"/>
      <c r="E215" s="25" t="n"/>
      <c r="F215" s="27">
        <f>IF($C215="","",$C215+7)</f>
        <v/>
      </c>
      <c r="G215" s="28">
        <f>IF($C215="","",IF(AND($E215&lt;&gt;"Applied",$E215&lt;&gt;""),"-",IF($H215="Yes","Followed up",IF(TODAY()&gt;$F215,"Overdue by "&amp;(TODAY()-$F215)&amp;IF(TODAY()-$F215=1," day"," days"),IF(TODAY()=$F215,"Follow up today","Due in "&amp;($F215-TODAY())&amp;IF($F215-TODAY()=1," day"," days"))))))</f>
        <v/>
      </c>
      <c r="H215" s="25" t="n"/>
      <c r="I215" s="25" t="n"/>
      <c r="J215" s="25" t="n"/>
      <c r="K215" s="25" t="n"/>
    </row>
    <row r="216" ht="18" customHeight="1">
      <c r="A216" s="25" t="n"/>
      <c r="B216" s="25" t="n"/>
      <c r="C216" s="26" t="n"/>
      <c r="D216" s="25" t="n"/>
      <c r="E216" s="25" t="n"/>
      <c r="F216" s="27">
        <f>IF($C216="","",$C216+7)</f>
        <v/>
      </c>
      <c r="G216" s="28">
        <f>IF($C216="","",IF(AND($E216&lt;&gt;"Applied",$E216&lt;&gt;""),"-",IF($H216="Yes","Followed up",IF(TODAY()&gt;$F216,"Overdue by "&amp;(TODAY()-$F216)&amp;IF(TODAY()-$F216=1," day"," days"),IF(TODAY()=$F216,"Follow up today","Due in "&amp;($F216-TODAY())&amp;IF($F216-TODAY()=1," day"," days"))))))</f>
        <v/>
      </c>
      <c r="H216" s="25" t="n"/>
      <c r="I216" s="25" t="n"/>
      <c r="J216" s="25" t="n"/>
      <c r="K216" s="25" t="n"/>
    </row>
    <row r="217" ht="18" customHeight="1">
      <c r="A217" s="25" t="n"/>
      <c r="B217" s="25" t="n"/>
      <c r="C217" s="26" t="n"/>
      <c r="D217" s="25" t="n"/>
      <c r="E217" s="25" t="n"/>
      <c r="F217" s="27">
        <f>IF($C217="","",$C217+7)</f>
        <v/>
      </c>
      <c r="G217" s="28">
        <f>IF($C217="","",IF(AND($E217&lt;&gt;"Applied",$E217&lt;&gt;""),"-",IF($H217="Yes","Followed up",IF(TODAY()&gt;$F217,"Overdue by "&amp;(TODAY()-$F217)&amp;IF(TODAY()-$F217=1," day"," days"),IF(TODAY()=$F217,"Follow up today","Due in "&amp;($F217-TODAY())&amp;IF($F217-TODAY()=1," day"," days"))))))</f>
        <v/>
      </c>
      <c r="H217" s="25" t="n"/>
      <c r="I217" s="25" t="n"/>
      <c r="J217" s="25" t="n"/>
      <c r="K217" s="25" t="n"/>
    </row>
    <row r="218" ht="18" customHeight="1">
      <c r="A218" s="25" t="n"/>
      <c r="B218" s="25" t="n"/>
      <c r="C218" s="26" t="n"/>
      <c r="D218" s="25" t="n"/>
      <c r="E218" s="25" t="n"/>
      <c r="F218" s="27">
        <f>IF($C218="","",$C218+7)</f>
        <v/>
      </c>
      <c r="G218" s="28">
        <f>IF($C218="","",IF(AND($E218&lt;&gt;"Applied",$E218&lt;&gt;""),"-",IF($H218="Yes","Followed up",IF(TODAY()&gt;$F218,"Overdue by "&amp;(TODAY()-$F218)&amp;IF(TODAY()-$F218=1," day"," days"),IF(TODAY()=$F218,"Follow up today","Due in "&amp;($F218-TODAY())&amp;IF($F218-TODAY()=1," day"," days"))))))</f>
        <v/>
      </c>
      <c r="H218" s="25" t="n"/>
      <c r="I218" s="25" t="n"/>
      <c r="J218" s="25" t="n"/>
      <c r="K218" s="25" t="n"/>
    </row>
    <row r="219" ht="18" customHeight="1">
      <c r="A219" s="25" t="n"/>
      <c r="B219" s="25" t="n"/>
      <c r="C219" s="26" t="n"/>
      <c r="D219" s="25" t="n"/>
      <c r="E219" s="25" t="n"/>
      <c r="F219" s="27">
        <f>IF($C219="","",$C219+7)</f>
        <v/>
      </c>
      <c r="G219" s="28">
        <f>IF($C219="","",IF(AND($E219&lt;&gt;"Applied",$E219&lt;&gt;""),"-",IF($H219="Yes","Followed up",IF(TODAY()&gt;$F219,"Overdue by "&amp;(TODAY()-$F219)&amp;IF(TODAY()-$F219=1," day"," days"),IF(TODAY()=$F219,"Follow up today","Due in "&amp;($F219-TODAY())&amp;IF($F219-TODAY()=1," day"," days"))))))</f>
        <v/>
      </c>
      <c r="H219" s="25" t="n"/>
      <c r="I219" s="25" t="n"/>
      <c r="J219" s="25" t="n"/>
      <c r="K219" s="25" t="n"/>
    </row>
    <row r="220" ht="18" customHeight="1">
      <c r="A220" s="25" t="n"/>
      <c r="B220" s="25" t="n"/>
      <c r="C220" s="26" t="n"/>
      <c r="D220" s="25" t="n"/>
      <c r="E220" s="25" t="n"/>
      <c r="F220" s="27">
        <f>IF($C220="","",$C220+7)</f>
        <v/>
      </c>
      <c r="G220" s="28">
        <f>IF($C220="","",IF(AND($E220&lt;&gt;"Applied",$E220&lt;&gt;""),"-",IF($H220="Yes","Followed up",IF(TODAY()&gt;$F220,"Overdue by "&amp;(TODAY()-$F220)&amp;IF(TODAY()-$F220=1," day"," days"),IF(TODAY()=$F220,"Follow up today","Due in "&amp;($F220-TODAY())&amp;IF($F220-TODAY()=1," day"," days"))))))</f>
        <v/>
      </c>
      <c r="H220" s="25" t="n"/>
      <c r="I220" s="25" t="n"/>
      <c r="J220" s="25" t="n"/>
      <c r="K220" s="25" t="n"/>
    </row>
    <row r="221" ht="18" customHeight="1">
      <c r="A221" s="25" t="n"/>
      <c r="B221" s="25" t="n"/>
      <c r="C221" s="26" t="n"/>
      <c r="D221" s="25" t="n"/>
      <c r="E221" s="25" t="n"/>
      <c r="F221" s="27">
        <f>IF($C221="","",$C221+7)</f>
        <v/>
      </c>
      <c r="G221" s="28">
        <f>IF($C221="","",IF(AND($E221&lt;&gt;"Applied",$E221&lt;&gt;""),"-",IF($H221="Yes","Followed up",IF(TODAY()&gt;$F221,"Overdue by "&amp;(TODAY()-$F221)&amp;IF(TODAY()-$F221=1," day"," days"),IF(TODAY()=$F221,"Follow up today","Due in "&amp;($F221-TODAY())&amp;IF($F221-TODAY()=1," day"," days"))))))</f>
        <v/>
      </c>
      <c r="H221" s="25" t="n"/>
      <c r="I221" s="25" t="n"/>
      <c r="J221" s="25" t="n"/>
      <c r="K221" s="25" t="n"/>
    </row>
    <row r="222" ht="18" customHeight="1">
      <c r="A222" s="25" t="n"/>
      <c r="B222" s="25" t="n"/>
      <c r="C222" s="26" t="n"/>
      <c r="D222" s="25" t="n"/>
      <c r="E222" s="25" t="n"/>
      <c r="F222" s="27">
        <f>IF($C222="","",$C222+7)</f>
        <v/>
      </c>
      <c r="G222" s="28">
        <f>IF($C222="","",IF(AND($E222&lt;&gt;"Applied",$E222&lt;&gt;""),"-",IF($H222="Yes","Followed up",IF(TODAY()&gt;$F222,"Overdue by "&amp;(TODAY()-$F222)&amp;IF(TODAY()-$F222=1," day"," days"),IF(TODAY()=$F222,"Follow up today","Due in "&amp;($F222-TODAY())&amp;IF($F222-TODAY()=1," day"," days"))))))</f>
        <v/>
      </c>
      <c r="H222" s="25" t="n"/>
      <c r="I222" s="25" t="n"/>
      <c r="J222" s="25" t="n"/>
      <c r="K222" s="25" t="n"/>
    </row>
    <row r="223" ht="18" customHeight="1">
      <c r="A223" s="25" t="n"/>
      <c r="B223" s="25" t="n"/>
      <c r="C223" s="26" t="n"/>
      <c r="D223" s="25" t="n"/>
      <c r="E223" s="25" t="n"/>
      <c r="F223" s="27">
        <f>IF($C223="","",$C223+7)</f>
        <v/>
      </c>
      <c r="G223" s="28">
        <f>IF($C223="","",IF(AND($E223&lt;&gt;"Applied",$E223&lt;&gt;""),"-",IF($H223="Yes","Followed up",IF(TODAY()&gt;$F223,"Overdue by "&amp;(TODAY()-$F223)&amp;IF(TODAY()-$F223=1," day"," days"),IF(TODAY()=$F223,"Follow up today","Due in "&amp;($F223-TODAY())&amp;IF($F223-TODAY()=1," day"," days"))))))</f>
        <v/>
      </c>
      <c r="H223" s="25" t="n"/>
      <c r="I223" s="25" t="n"/>
      <c r="J223" s="25" t="n"/>
      <c r="K223" s="25" t="n"/>
    </row>
    <row r="224" ht="18" customHeight="1">
      <c r="A224" s="25" t="n"/>
      <c r="B224" s="25" t="n"/>
      <c r="C224" s="26" t="n"/>
      <c r="D224" s="25" t="n"/>
      <c r="E224" s="25" t="n"/>
      <c r="F224" s="27">
        <f>IF($C224="","",$C224+7)</f>
        <v/>
      </c>
      <c r="G224" s="28">
        <f>IF($C224="","",IF(AND($E224&lt;&gt;"Applied",$E224&lt;&gt;""),"-",IF($H224="Yes","Followed up",IF(TODAY()&gt;$F224,"Overdue by "&amp;(TODAY()-$F224)&amp;IF(TODAY()-$F224=1," day"," days"),IF(TODAY()=$F224,"Follow up today","Due in "&amp;($F224-TODAY())&amp;IF($F224-TODAY()=1," day"," days"))))))</f>
        <v/>
      </c>
      <c r="H224" s="25" t="n"/>
      <c r="I224" s="25" t="n"/>
      <c r="J224" s="25" t="n"/>
      <c r="K224" s="25" t="n"/>
    </row>
    <row r="225" ht="18" customHeight="1">
      <c r="A225" s="25" t="n"/>
      <c r="B225" s="25" t="n"/>
      <c r="C225" s="26" t="n"/>
      <c r="D225" s="25" t="n"/>
      <c r="E225" s="25" t="n"/>
      <c r="F225" s="27">
        <f>IF($C225="","",$C225+7)</f>
        <v/>
      </c>
      <c r="G225" s="28">
        <f>IF($C225="","",IF(AND($E225&lt;&gt;"Applied",$E225&lt;&gt;""),"-",IF($H225="Yes","Followed up",IF(TODAY()&gt;$F225,"Overdue by "&amp;(TODAY()-$F225)&amp;IF(TODAY()-$F225=1," day"," days"),IF(TODAY()=$F225,"Follow up today","Due in "&amp;($F225-TODAY())&amp;IF($F225-TODAY()=1," day"," days"))))))</f>
        <v/>
      </c>
      <c r="H225" s="25" t="n"/>
      <c r="I225" s="25" t="n"/>
      <c r="J225" s="25" t="n"/>
      <c r="K225" s="25" t="n"/>
    </row>
    <row r="226" ht="18" customHeight="1">
      <c r="A226" s="25" t="n"/>
      <c r="B226" s="25" t="n"/>
      <c r="C226" s="26" t="n"/>
      <c r="D226" s="25" t="n"/>
      <c r="E226" s="25" t="n"/>
      <c r="F226" s="27">
        <f>IF($C226="","",$C226+7)</f>
        <v/>
      </c>
      <c r="G226" s="28">
        <f>IF($C226="","",IF(AND($E226&lt;&gt;"Applied",$E226&lt;&gt;""),"-",IF($H226="Yes","Followed up",IF(TODAY()&gt;$F226,"Overdue by "&amp;(TODAY()-$F226)&amp;IF(TODAY()-$F226=1," day"," days"),IF(TODAY()=$F226,"Follow up today","Due in "&amp;($F226-TODAY())&amp;IF($F226-TODAY()=1," day"," days"))))))</f>
        <v/>
      </c>
      <c r="H226" s="25" t="n"/>
      <c r="I226" s="25" t="n"/>
      <c r="J226" s="25" t="n"/>
      <c r="K226" s="25" t="n"/>
    </row>
    <row r="227" ht="18" customHeight="1">
      <c r="A227" s="25" t="n"/>
      <c r="B227" s="25" t="n"/>
      <c r="C227" s="26" t="n"/>
      <c r="D227" s="25" t="n"/>
      <c r="E227" s="25" t="n"/>
      <c r="F227" s="27">
        <f>IF($C227="","",$C227+7)</f>
        <v/>
      </c>
      <c r="G227" s="28">
        <f>IF($C227="","",IF(AND($E227&lt;&gt;"Applied",$E227&lt;&gt;""),"-",IF($H227="Yes","Followed up",IF(TODAY()&gt;$F227,"Overdue by "&amp;(TODAY()-$F227)&amp;IF(TODAY()-$F227=1," day"," days"),IF(TODAY()=$F227,"Follow up today","Due in "&amp;($F227-TODAY())&amp;IF($F227-TODAY()=1," day"," days"))))))</f>
        <v/>
      </c>
      <c r="H227" s="25" t="n"/>
      <c r="I227" s="25" t="n"/>
      <c r="J227" s="25" t="n"/>
      <c r="K227" s="25" t="n"/>
    </row>
    <row r="228" ht="18" customHeight="1">
      <c r="A228" s="25" t="n"/>
      <c r="B228" s="25" t="n"/>
      <c r="C228" s="26" t="n"/>
      <c r="D228" s="25" t="n"/>
      <c r="E228" s="25" t="n"/>
      <c r="F228" s="27">
        <f>IF($C228="","",$C228+7)</f>
        <v/>
      </c>
      <c r="G228" s="28">
        <f>IF($C228="","",IF(AND($E228&lt;&gt;"Applied",$E228&lt;&gt;""),"-",IF($H228="Yes","Followed up",IF(TODAY()&gt;$F228,"Overdue by "&amp;(TODAY()-$F228)&amp;IF(TODAY()-$F228=1," day"," days"),IF(TODAY()=$F228,"Follow up today","Due in "&amp;($F228-TODAY())&amp;IF($F228-TODAY()=1," day"," days"))))))</f>
        <v/>
      </c>
      <c r="H228" s="25" t="n"/>
      <c r="I228" s="25" t="n"/>
      <c r="J228" s="25" t="n"/>
      <c r="K228" s="25" t="n"/>
    </row>
    <row r="229" ht="18" customHeight="1">
      <c r="A229" s="25" t="n"/>
      <c r="B229" s="25" t="n"/>
      <c r="C229" s="26" t="n"/>
      <c r="D229" s="25" t="n"/>
      <c r="E229" s="25" t="n"/>
      <c r="F229" s="27">
        <f>IF($C229="","",$C229+7)</f>
        <v/>
      </c>
      <c r="G229" s="28">
        <f>IF($C229="","",IF(AND($E229&lt;&gt;"Applied",$E229&lt;&gt;""),"-",IF($H229="Yes","Followed up",IF(TODAY()&gt;$F229,"Overdue by "&amp;(TODAY()-$F229)&amp;IF(TODAY()-$F229=1," day"," days"),IF(TODAY()=$F229,"Follow up today","Due in "&amp;($F229-TODAY())&amp;IF($F229-TODAY()=1," day"," days"))))))</f>
        <v/>
      </c>
      <c r="H229" s="25" t="n"/>
      <c r="I229" s="25" t="n"/>
      <c r="J229" s="25" t="n"/>
      <c r="K229" s="25" t="n"/>
    </row>
    <row r="230" ht="18" customHeight="1">
      <c r="A230" s="25" t="n"/>
      <c r="B230" s="25" t="n"/>
      <c r="C230" s="26" t="n"/>
      <c r="D230" s="25" t="n"/>
      <c r="E230" s="25" t="n"/>
      <c r="F230" s="27">
        <f>IF($C230="","",$C230+7)</f>
        <v/>
      </c>
      <c r="G230" s="28">
        <f>IF($C230="","",IF(AND($E230&lt;&gt;"Applied",$E230&lt;&gt;""),"-",IF($H230="Yes","Followed up",IF(TODAY()&gt;$F230,"Overdue by "&amp;(TODAY()-$F230)&amp;IF(TODAY()-$F230=1," day"," days"),IF(TODAY()=$F230,"Follow up today","Due in "&amp;($F230-TODAY())&amp;IF($F230-TODAY()=1," day"," days"))))))</f>
        <v/>
      </c>
      <c r="H230" s="25" t="n"/>
      <c r="I230" s="25" t="n"/>
      <c r="J230" s="25" t="n"/>
      <c r="K230" s="25" t="n"/>
    </row>
    <row r="231" ht="18" customHeight="1">
      <c r="A231" s="25" t="n"/>
      <c r="B231" s="25" t="n"/>
      <c r="C231" s="26" t="n"/>
      <c r="D231" s="25" t="n"/>
      <c r="E231" s="25" t="n"/>
      <c r="F231" s="27">
        <f>IF($C231="","",$C231+7)</f>
        <v/>
      </c>
      <c r="G231" s="28">
        <f>IF($C231="","",IF(AND($E231&lt;&gt;"Applied",$E231&lt;&gt;""),"-",IF($H231="Yes","Followed up",IF(TODAY()&gt;$F231,"Overdue by "&amp;(TODAY()-$F231)&amp;IF(TODAY()-$F231=1," day"," days"),IF(TODAY()=$F231,"Follow up today","Due in "&amp;($F231-TODAY())&amp;IF($F231-TODAY()=1," day"," days"))))))</f>
        <v/>
      </c>
      <c r="H231" s="25" t="n"/>
      <c r="I231" s="25" t="n"/>
      <c r="J231" s="25" t="n"/>
      <c r="K231" s="25" t="n"/>
    </row>
    <row r="232" ht="18" customHeight="1">
      <c r="A232" s="25" t="n"/>
      <c r="B232" s="25" t="n"/>
      <c r="C232" s="26" t="n"/>
      <c r="D232" s="25" t="n"/>
      <c r="E232" s="25" t="n"/>
      <c r="F232" s="27">
        <f>IF($C232="","",$C232+7)</f>
        <v/>
      </c>
      <c r="G232" s="28">
        <f>IF($C232="","",IF(AND($E232&lt;&gt;"Applied",$E232&lt;&gt;""),"-",IF($H232="Yes","Followed up",IF(TODAY()&gt;$F232,"Overdue by "&amp;(TODAY()-$F232)&amp;IF(TODAY()-$F232=1," day"," days"),IF(TODAY()=$F232,"Follow up today","Due in "&amp;($F232-TODAY())&amp;IF($F232-TODAY()=1," day"," days"))))))</f>
        <v/>
      </c>
      <c r="H232" s="25" t="n"/>
      <c r="I232" s="25" t="n"/>
      <c r="J232" s="25" t="n"/>
      <c r="K232" s="25" t="n"/>
    </row>
    <row r="233" ht="18" customHeight="1">
      <c r="A233" s="25" t="n"/>
      <c r="B233" s="25" t="n"/>
      <c r="C233" s="26" t="n"/>
      <c r="D233" s="25" t="n"/>
      <c r="E233" s="25" t="n"/>
      <c r="F233" s="27">
        <f>IF($C233="","",$C233+7)</f>
        <v/>
      </c>
      <c r="G233" s="28">
        <f>IF($C233="","",IF(AND($E233&lt;&gt;"Applied",$E233&lt;&gt;""),"-",IF($H233="Yes","Followed up",IF(TODAY()&gt;$F233,"Overdue by "&amp;(TODAY()-$F233)&amp;IF(TODAY()-$F233=1," day"," days"),IF(TODAY()=$F233,"Follow up today","Due in "&amp;($F233-TODAY())&amp;IF($F233-TODAY()=1," day"," days"))))))</f>
        <v/>
      </c>
      <c r="H233" s="25" t="n"/>
      <c r="I233" s="25" t="n"/>
      <c r="J233" s="25" t="n"/>
      <c r="K233" s="25" t="n"/>
    </row>
    <row r="234" ht="18" customHeight="1">
      <c r="A234" s="25" t="n"/>
      <c r="B234" s="25" t="n"/>
      <c r="C234" s="26" t="n"/>
      <c r="D234" s="25" t="n"/>
      <c r="E234" s="25" t="n"/>
      <c r="F234" s="27">
        <f>IF($C234="","",$C234+7)</f>
        <v/>
      </c>
      <c r="G234" s="28">
        <f>IF($C234="","",IF(AND($E234&lt;&gt;"Applied",$E234&lt;&gt;""),"-",IF($H234="Yes","Followed up",IF(TODAY()&gt;$F234,"Overdue by "&amp;(TODAY()-$F234)&amp;IF(TODAY()-$F234=1," day"," days"),IF(TODAY()=$F234,"Follow up today","Due in "&amp;($F234-TODAY())&amp;IF($F234-TODAY()=1," day"," days"))))))</f>
        <v/>
      </c>
      <c r="H234" s="25" t="n"/>
      <c r="I234" s="25" t="n"/>
      <c r="J234" s="25" t="n"/>
      <c r="K234" s="25" t="n"/>
    </row>
    <row r="235" ht="18" customHeight="1">
      <c r="A235" s="25" t="n"/>
      <c r="B235" s="25" t="n"/>
      <c r="C235" s="26" t="n"/>
      <c r="D235" s="25" t="n"/>
      <c r="E235" s="25" t="n"/>
      <c r="F235" s="27">
        <f>IF($C235="","",$C235+7)</f>
        <v/>
      </c>
      <c r="G235" s="28">
        <f>IF($C235="","",IF(AND($E235&lt;&gt;"Applied",$E235&lt;&gt;""),"-",IF($H235="Yes","Followed up",IF(TODAY()&gt;$F235,"Overdue by "&amp;(TODAY()-$F235)&amp;IF(TODAY()-$F235=1," day"," days"),IF(TODAY()=$F235,"Follow up today","Due in "&amp;($F235-TODAY())&amp;IF($F235-TODAY()=1," day"," days"))))))</f>
        <v/>
      </c>
      <c r="H235" s="25" t="n"/>
      <c r="I235" s="25" t="n"/>
      <c r="J235" s="25" t="n"/>
      <c r="K235" s="25" t="n"/>
    </row>
    <row r="236" ht="18" customHeight="1">
      <c r="A236" s="25" t="n"/>
      <c r="B236" s="25" t="n"/>
      <c r="C236" s="26" t="n"/>
      <c r="D236" s="25" t="n"/>
      <c r="E236" s="25" t="n"/>
      <c r="F236" s="27">
        <f>IF($C236="","",$C236+7)</f>
        <v/>
      </c>
      <c r="G236" s="28">
        <f>IF($C236="","",IF(AND($E236&lt;&gt;"Applied",$E236&lt;&gt;""),"-",IF($H236="Yes","Followed up",IF(TODAY()&gt;$F236,"Overdue by "&amp;(TODAY()-$F236)&amp;IF(TODAY()-$F236=1," day"," days"),IF(TODAY()=$F236,"Follow up today","Due in "&amp;($F236-TODAY())&amp;IF($F236-TODAY()=1," day"," days"))))))</f>
        <v/>
      </c>
      <c r="H236" s="25" t="n"/>
      <c r="I236" s="25" t="n"/>
      <c r="J236" s="25" t="n"/>
      <c r="K236" s="25" t="n"/>
    </row>
    <row r="237" ht="18" customHeight="1">
      <c r="A237" s="25" t="n"/>
      <c r="B237" s="25" t="n"/>
      <c r="C237" s="26" t="n"/>
      <c r="D237" s="25" t="n"/>
      <c r="E237" s="25" t="n"/>
      <c r="F237" s="27">
        <f>IF($C237="","",$C237+7)</f>
        <v/>
      </c>
      <c r="G237" s="28">
        <f>IF($C237="","",IF(AND($E237&lt;&gt;"Applied",$E237&lt;&gt;""),"-",IF($H237="Yes","Followed up",IF(TODAY()&gt;$F237,"Overdue by "&amp;(TODAY()-$F237)&amp;IF(TODAY()-$F237=1," day"," days"),IF(TODAY()=$F237,"Follow up today","Due in "&amp;($F237-TODAY())&amp;IF($F237-TODAY()=1," day"," days"))))))</f>
        <v/>
      </c>
      <c r="H237" s="25" t="n"/>
      <c r="I237" s="25" t="n"/>
      <c r="J237" s="25" t="n"/>
      <c r="K237" s="25" t="n"/>
    </row>
    <row r="238" ht="18" customHeight="1">
      <c r="A238" s="25" t="n"/>
      <c r="B238" s="25" t="n"/>
      <c r="C238" s="26" t="n"/>
      <c r="D238" s="25" t="n"/>
      <c r="E238" s="25" t="n"/>
      <c r="F238" s="27">
        <f>IF($C238="","",$C238+7)</f>
        <v/>
      </c>
      <c r="G238" s="28">
        <f>IF($C238="","",IF(AND($E238&lt;&gt;"Applied",$E238&lt;&gt;""),"-",IF($H238="Yes","Followed up",IF(TODAY()&gt;$F238,"Overdue by "&amp;(TODAY()-$F238)&amp;IF(TODAY()-$F238=1," day"," days"),IF(TODAY()=$F238,"Follow up today","Due in "&amp;($F238-TODAY())&amp;IF($F238-TODAY()=1," day"," days"))))))</f>
        <v/>
      </c>
      <c r="H238" s="25" t="n"/>
      <c r="I238" s="25" t="n"/>
      <c r="J238" s="25" t="n"/>
      <c r="K238" s="25" t="n"/>
    </row>
    <row r="239" ht="18" customHeight="1">
      <c r="A239" s="25" t="n"/>
      <c r="B239" s="25" t="n"/>
      <c r="C239" s="26" t="n"/>
      <c r="D239" s="25" t="n"/>
      <c r="E239" s="25" t="n"/>
      <c r="F239" s="27">
        <f>IF($C239="","",$C239+7)</f>
        <v/>
      </c>
      <c r="G239" s="28">
        <f>IF($C239="","",IF(AND($E239&lt;&gt;"Applied",$E239&lt;&gt;""),"-",IF($H239="Yes","Followed up",IF(TODAY()&gt;$F239,"Overdue by "&amp;(TODAY()-$F239)&amp;IF(TODAY()-$F239=1," day"," days"),IF(TODAY()=$F239,"Follow up today","Due in "&amp;($F239-TODAY())&amp;IF($F239-TODAY()=1," day"," days"))))))</f>
        <v/>
      </c>
      <c r="H239" s="25" t="n"/>
      <c r="I239" s="25" t="n"/>
      <c r="J239" s="25" t="n"/>
      <c r="K239" s="25" t="n"/>
    </row>
    <row r="240" ht="18" customHeight="1">
      <c r="A240" s="25" t="n"/>
      <c r="B240" s="25" t="n"/>
      <c r="C240" s="26" t="n"/>
      <c r="D240" s="25" t="n"/>
      <c r="E240" s="25" t="n"/>
      <c r="F240" s="27">
        <f>IF($C240="","",$C240+7)</f>
        <v/>
      </c>
      <c r="G240" s="28">
        <f>IF($C240="","",IF(AND($E240&lt;&gt;"Applied",$E240&lt;&gt;""),"-",IF($H240="Yes","Followed up",IF(TODAY()&gt;$F240,"Overdue by "&amp;(TODAY()-$F240)&amp;IF(TODAY()-$F240=1," day"," days"),IF(TODAY()=$F240,"Follow up today","Due in "&amp;($F240-TODAY())&amp;IF($F240-TODAY()=1," day"," days"))))))</f>
        <v/>
      </c>
      <c r="H240" s="25" t="n"/>
      <c r="I240" s="25" t="n"/>
      <c r="J240" s="25" t="n"/>
      <c r="K240" s="25" t="n"/>
    </row>
    <row r="241" ht="18" customHeight="1">
      <c r="A241" s="25" t="n"/>
      <c r="B241" s="25" t="n"/>
      <c r="C241" s="26" t="n"/>
      <c r="D241" s="25" t="n"/>
      <c r="E241" s="25" t="n"/>
      <c r="F241" s="27">
        <f>IF($C241="","",$C241+7)</f>
        <v/>
      </c>
      <c r="G241" s="28">
        <f>IF($C241="","",IF(AND($E241&lt;&gt;"Applied",$E241&lt;&gt;""),"-",IF($H241="Yes","Followed up",IF(TODAY()&gt;$F241,"Overdue by "&amp;(TODAY()-$F241)&amp;IF(TODAY()-$F241=1," day"," days"),IF(TODAY()=$F241,"Follow up today","Due in "&amp;($F241-TODAY())&amp;IF($F241-TODAY()=1," day"," days"))))))</f>
        <v/>
      </c>
      <c r="H241" s="25" t="n"/>
      <c r="I241" s="25" t="n"/>
      <c r="J241" s="25" t="n"/>
      <c r="K241" s="25" t="n"/>
    </row>
    <row r="242" ht="18" customHeight="1">
      <c r="A242" s="25" t="n"/>
      <c r="B242" s="25" t="n"/>
      <c r="C242" s="26" t="n"/>
      <c r="D242" s="25" t="n"/>
      <c r="E242" s="25" t="n"/>
      <c r="F242" s="27">
        <f>IF($C242="","",$C242+7)</f>
        <v/>
      </c>
      <c r="G242" s="28">
        <f>IF($C242="","",IF(AND($E242&lt;&gt;"Applied",$E242&lt;&gt;""),"-",IF($H242="Yes","Followed up",IF(TODAY()&gt;$F242,"Overdue by "&amp;(TODAY()-$F242)&amp;IF(TODAY()-$F242=1," day"," days"),IF(TODAY()=$F242,"Follow up today","Due in "&amp;($F242-TODAY())&amp;IF($F242-TODAY()=1," day"," days"))))))</f>
        <v/>
      </c>
      <c r="H242" s="25" t="n"/>
      <c r="I242" s="25" t="n"/>
      <c r="J242" s="25" t="n"/>
      <c r="K242" s="25" t="n"/>
    </row>
    <row r="243" ht="18" customHeight="1">
      <c r="A243" s="25" t="n"/>
      <c r="B243" s="25" t="n"/>
      <c r="C243" s="26" t="n"/>
      <c r="D243" s="25" t="n"/>
      <c r="E243" s="25" t="n"/>
      <c r="F243" s="27">
        <f>IF($C243="","",$C243+7)</f>
        <v/>
      </c>
      <c r="G243" s="28">
        <f>IF($C243="","",IF(AND($E243&lt;&gt;"Applied",$E243&lt;&gt;""),"-",IF($H243="Yes","Followed up",IF(TODAY()&gt;$F243,"Overdue by "&amp;(TODAY()-$F243)&amp;IF(TODAY()-$F243=1," day"," days"),IF(TODAY()=$F243,"Follow up today","Due in "&amp;($F243-TODAY())&amp;IF($F243-TODAY()=1," day"," days"))))))</f>
        <v/>
      </c>
      <c r="H243" s="25" t="n"/>
      <c r="I243" s="25" t="n"/>
      <c r="J243" s="25" t="n"/>
      <c r="K243" s="25" t="n"/>
    </row>
    <row r="244" ht="18" customHeight="1">
      <c r="A244" s="25" t="n"/>
      <c r="B244" s="25" t="n"/>
      <c r="C244" s="26" t="n"/>
      <c r="D244" s="25" t="n"/>
      <c r="E244" s="25" t="n"/>
      <c r="F244" s="27">
        <f>IF($C244="","",$C244+7)</f>
        <v/>
      </c>
      <c r="G244" s="28">
        <f>IF($C244="","",IF(AND($E244&lt;&gt;"Applied",$E244&lt;&gt;""),"-",IF($H244="Yes","Followed up",IF(TODAY()&gt;$F244,"Overdue by "&amp;(TODAY()-$F244)&amp;IF(TODAY()-$F244=1," day"," days"),IF(TODAY()=$F244,"Follow up today","Due in "&amp;($F244-TODAY())&amp;IF($F244-TODAY()=1," day"," days"))))))</f>
        <v/>
      </c>
      <c r="H244" s="25" t="n"/>
      <c r="I244" s="25" t="n"/>
      <c r="J244" s="25" t="n"/>
      <c r="K244" s="25" t="n"/>
    </row>
    <row r="245" ht="18" customHeight="1">
      <c r="A245" s="25" t="n"/>
      <c r="B245" s="25" t="n"/>
      <c r="C245" s="26" t="n"/>
      <c r="D245" s="25" t="n"/>
      <c r="E245" s="25" t="n"/>
      <c r="F245" s="27">
        <f>IF($C245="","",$C245+7)</f>
        <v/>
      </c>
      <c r="G245" s="28">
        <f>IF($C245="","",IF(AND($E245&lt;&gt;"Applied",$E245&lt;&gt;""),"-",IF($H245="Yes","Followed up",IF(TODAY()&gt;$F245,"Overdue by "&amp;(TODAY()-$F245)&amp;IF(TODAY()-$F245=1," day"," days"),IF(TODAY()=$F245,"Follow up today","Due in "&amp;($F245-TODAY())&amp;IF($F245-TODAY()=1," day"," days"))))))</f>
        <v/>
      </c>
      <c r="H245" s="25" t="n"/>
      <c r="I245" s="25" t="n"/>
      <c r="J245" s="25" t="n"/>
      <c r="K245" s="25" t="n"/>
    </row>
    <row r="246" ht="18" customHeight="1">
      <c r="A246" s="25" t="n"/>
      <c r="B246" s="25" t="n"/>
      <c r="C246" s="26" t="n"/>
      <c r="D246" s="25" t="n"/>
      <c r="E246" s="25" t="n"/>
      <c r="F246" s="27">
        <f>IF($C246="","",$C246+7)</f>
        <v/>
      </c>
      <c r="G246" s="28">
        <f>IF($C246="","",IF(AND($E246&lt;&gt;"Applied",$E246&lt;&gt;""),"-",IF($H246="Yes","Followed up",IF(TODAY()&gt;$F246,"Overdue by "&amp;(TODAY()-$F246)&amp;IF(TODAY()-$F246=1," day"," days"),IF(TODAY()=$F246,"Follow up today","Due in "&amp;($F246-TODAY())&amp;IF($F246-TODAY()=1," day"," days"))))))</f>
        <v/>
      </c>
      <c r="H246" s="25" t="n"/>
      <c r="I246" s="25" t="n"/>
      <c r="J246" s="25" t="n"/>
      <c r="K246" s="25" t="n"/>
    </row>
    <row r="247" ht="18" customHeight="1">
      <c r="A247" s="25" t="n"/>
      <c r="B247" s="25" t="n"/>
      <c r="C247" s="26" t="n"/>
      <c r="D247" s="25" t="n"/>
      <c r="E247" s="25" t="n"/>
      <c r="F247" s="27">
        <f>IF($C247="","",$C247+7)</f>
        <v/>
      </c>
      <c r="G247" s="28">
        <f>IF($C247="","",IF(AND($E247&lt;&gt;"Applied",$E247&lt;&gt;""),"-",IF($H247="Yes","Followed up",IF(TODAY()&gt;$F247,"Overdue by "&amp;(TODAY()-$F247)&amp;IF(TODAY()-$F247=1," day"," days"),IF(TODAY()=$F247,"Follow up today","Due in "&amp;($F247-TODAY())&amp;IF($F247-TODAY()=1," day"," days"))))))</f>
        <v/>
      </c>
      <c r="H247" s="25" t="n"/>
      <c r="I247" s="25" t="n"/>
      <c r="J247" s="25" t="n"/>
      <c r="K247" s="25" t="n"/>
    </row>
    <row r="248" ht="18" customHeight="1">
      <c r="A248" s="25" t="n"/>
      <c r="B248" s="25" t="n"/>
      <c r="C248" s="26" t="n"/>
      <c r="D248" s="25" t="n"/>
      <c r="E248" s="25" t="n"/>
      <c r="F248" s="27">
        <f>IF($C248="","",$C248+7)</f>
        <v/>
      </c>
      <c r="G248" s="28">
        <f>IF($C248="","",IF(AND($E248&lt;&gt;"Applied",$E248&lt;&gt;""),"-",IF($H248="Yes","Followed up",IF(TODAY()&gt;$F248,"Overdue by "&amp;(TODAY()-$F248)&amp;IF(TODAY()-$F248=1," day"," days"),IF(TODAY()=$F248,"Follow up today","Due in "&amp;($F248-TODAY())&amp;IF($F248-TODAY()=1," day"," days"))))))</f>
        <v/>
      </c>
      <c r="H248" s="25" t="n"/>
      <c r="I248" s="25" t="n"/>
      <c r="J248" s="25" t="n"/>
      <c r="K248" s="25" t="n"/>
    </row>
    <row r="249" ht="18" customHeight="1">
      <c r="A249" s="25" t="n"/>
      <c r="B249" s="25" t="n"/>
      <c r="C249" s="26" t="n"/>
      <c r="D249" s="25" t="n"/>
      <c r="E249" s="25" t="n"/>
      <c r="F249" s="27">
        <f>IF($C249="","",$C249+7)</f>
        <v/>
      </c>
      <c r="G249" s="28">
        <f>IF($C249="","",IF(AND($E249&lt;&gt;"Applied",$E249&lt;&gt;""),"-",IF($H249="Yes","Followed up",IF(TODAY()&gt;$F249,"Overdue by "&amp;(TODAY()-$F249)&amp;IF(TODAY()-$F249=1," day"," days"),IF(TODAY()=$F249,"Follow up today","Due in "&amp;($F249-TODAY())&amp;IF($F249-TODAY()=1," day"," days"))))))</f>
        <v/>
      </c>
      <c r="H249" s="25" t="n"/>
      <c r="I249" s="25" t="n"/>
      <c r="J249" s="25" t="n"/>
      <c r="K249" s="25" t="n"/>
    </row>
    <row r="250" ht="18" customHeight="1">
      <c r="A250" s="25" t="n"/>
      <c r="B250" s="25" t="n"/>
      <c r="C250" s="26" t="n"/>
      <c r="D250" s="25" t="n"/>
      <c r="E250" s="25" t="n"/>
      <c r="F250" s="27">
        <f>IF($C250="","",$C250+7)</f>
        <v/>
      </c>
      <c r="G250" s="28">
        <f>IF($C250="","",IF(AND($E250&lt;&gt;"Applied",$E250&lt;&gt;""),"-",IF($H250="Yes","Followed up",IF(TODAY()&gt;$F250,"Overdue by "&amp;(TODAY()-$F250)&amp;IF(TODAY()-$F250=1," day"," days"),IF(TODAY()=$F250,"Follow up today","Due in "&amp;($F250-TODAY())&amp;IF($F250-TODAY()=1," day"," days"))))))</f>
        <v/>
      </c>
      <c r="H250" s="25" t="n"/>
      <c r="I250" s="25" t="n"/>
      <c r="J250" s="25" t="n"/>
      <c r="K250" s="25" t="n"/>
    </row>
    <row r="251" ht="18" customHeight="1">
      <c r="A251" s="25" t="n"/>
      <c r="B251" s="25" t="n"/>
      <c r="C251" s="26" t="n"/>
      <c r="D251" s="25" t="n"/>
      <c r="E251" s="25" t="n"/>
      <c r="F251" s="27">
        <f>IF($C251="","",$C251+7)</f>
        <v/>
      </c>
      <c r="G251" s="28">
        <f>IF($C251="","",IF(AND($E251&lt;&gt;"Applied",$E251&lt;&gt;""),"-",IF($H251="Yes","Followed up",IF(TODAY()&gt;$F251,"Overdue by "&amp;(TODAY()-$F251)&amp;IF(TODAY()-$F251=1," day"," days"),IF(TODAY()=$F251,"Follow up today","Due in "&amp;($F251-TODAY())&amp;IF($F251-TODAY()=1," day"," days"))))))</f>
        <v/>
      </c>
      <c r="H251" s="25" t="n"/>
      <c r="I251" s="25" t="n"/>
      <c r="J251" s="25" t="n"/>
      <c r="K251" s="25" t="n"/>
    </row>
    <row r="252" ht="18" customHeight="1">
      <c r="A252" s="25" t="n"/>
      <c r="B252" s="25" t="n"/>
      <c r="C252" s="26" t="n"/>
      <c r="D252" s="25" t="n"/>
      <c r="E252" s="25" t="n"/>
      <c r="F252" s="27">
        <f>IF($C252="","",$C252+7)</f>
        <v/>
      </c>
      <c r="G252" s="28">
        <f>IF($C252="","",IF(AND($E252&lt;&gt;"Applied",$E252&lt;&gt;""),"-",IF($H252="Yes","Followed up",IF(TODAY()&gt;$F252,"Overdue by "&amp;(TODAY()-$F252)&amp;IF(TODAY()-$F252=1," day"," days"),IF(TODAY()=$F252,"Follow up today","Due in "&amp;($F252-TODAY())&amp;IF($F252-TODAY()=1," day"," days"))))))</f>
        <v/>
      </c>
      <c r="H252" s="25" t="n"/>
      <c r="I252" s="25" t="n"/>
      <c r="J252" s="25" t="n"/>
      <c r="K252" s="25" t="n"/>
    </row>
    <row r="253" ht="18" customHeight="1">
      <c r="A253" s="25" t="n"/>
      <c r="B253" s="25" t="n"/>
      <c r="C253" s="26" t="n"/>
      <c r="D253" s="25" t="n"/>
      <c r="E253" s="25" t="n"/>
      <c r="F253" s="27">
        <f>IF($C253="","",$C253+7)</f>
        <v/>
      </c>
      <c r="G253" s="28">
        <f>IF($C253="","",IF(AND($E253&lt;&gt;"Applied",$E253&lt;&gt;""),"-",IF($H253="Yes","Followed up",IF(TODAY()&gt;$F253,"Overdue by "&amp;(TODAY()-$F253)&amp;IF(TODAY()-$F253=1," day"," days"),IF(TODAY()=$F253,"Follow up today","Due in "&amp;($F253-TODAY())&amp;IF($F253-TODAY()=1," day"," days"))))))</f>
        <v/>
      </c>
      <c r="H253" s="25" t="n"/>
      <c r="I253" s="25" t="n"/>
      <c r="J253" s="25" t="n"/>
      <c r="K253" s="25" t="n"/>
    </row>
    <row r="254" ht="18" customHeight="1">
      <c r="A254" s="25" t="n"/>
      <c r="B254" s="25" t="n"/>
      <c r="C254" s="26" t="n"/>
      <c r="D254" s="25" t="n"/>
      <c r="E254" s="25" t="n"/>
      <c r="F254" s="27">
        <f>IF($C254="","",$C254+7)</f>
        <v/>
      </c>
      <c r="G254" s="28">
        <f>IF($C254="","",IF(AND($E254&lt;&gt;"Applied",$E254&lt;&gt;""),"-",IF($H254="Yes","Followed up",IF(TODAY()&gt;$F254,"Overdue by "&amp;(TODAY()-$F254)&amp;IF(TODAY()-$F254=1," day"," days"),IF(TODAY()=$F254,"Follow up today","Due in "&amp;($F254-TODAY())&amp;IF($F254-TODAY()=1," day"," days"))))))</f>
        <v/>
      </c>
      <c r="H254" s="25" t="n"/>
      <c r="I254" s="25" t="n"/>
      <c r="J254" s="25" t="n"/>
      <c r="K254" s="25" t="n"/>
    </row>
    <row r="255" ht="18" customHeight="1">
      <c r="A255" s="25" t="n"/>
      <c r="B255" s="25" t="n"/>
      <c r="C255" s="26" t="n"/>
      <c r="D255" s="25" t="n"/>
      <c r="E255" s="25" t="n"/>
      <c r="F255" s="27">
        <f>IF($C255="","",$C255+7)</f>
        <v/>
      </c>
      <c r="G255" s="28">
        <f>IF($C255="","",IF(AND($E255&lt;&gt;"Applied",$E255&lt;&gt;""),"-",IF($H255="Yes","Followed up",IF(TODAY()&gt;$F255,"Overdue by "&amp;(TODAY()-$F255)&amp;IF(TODAY()-$F255=1," day"," days"),IF(TODAY()=$F255,"Follow up today","Due in "&amp;($F255-TODAY())&amp;IF($F255-TODAY()=1," day"," days"))))))</f>
        <v/>
      </c>
      <c r="H255" s="25" t="n"/>
      <c r="I255" s="25" t="n"/>
      <c r="J255" s="25" t="n"/>
      <c r="K255" s="25" t="n"/>
    </row>
    <row r="256" ht="18" customHeight="1">
      <c r="A256" s="25" t="n"/>
      <c r="B256" s="25" t="n"/>
      <c r="C256" s="26" t="n"/>
      <c r="D256" s="25" t="n"/>
      <c r="E256" s="25" t="n"/>
      <c r="F256" s="27">
        <f>IF($C256="","",$C256+7)</f>
        <v/>
      </c>
      <c r="G256" s="28">
        <f>IF($C256="","",IF(AND($E256&lt;&gt;"Applied",$E256&lt;&gt;""),"-",IF($H256="Yes","Followed up",IF(TODAY()&gt;$F256,"Overdue by "&amp;(TODAY()-$F256)&amp;IF(TODAY()-$F256=1," day"," days"),IF(TODAY()=$F256,"Follow up today","Due in "&amp;($F256-TODAY())&amp;IF($F256-TODAY()=1," day"," days"))))))</f>
        <v/>
      </c>
      <c r="H256" s="25" t="n"/>
      <c r="I256" s="25" t="n"/>
      <c r="J256" s="25" t="n"/>
      <c r="K256" s="25" t="n"/>
    </row>
    <row r="257" ht="18" customHeight="1">
      <c r="A257" s="25" t="n"/>
      <c r="B257" s="25" t="n"/>
      <c r="C257" s="26" t="n"/>
      <c r="D257" s="25" t="n"/>
      <c r="E257" s="25" t="n"/>
      <c r="F257" s="27">
        <f>IF($C257="","",$C257+7)</f>
        <v/>
      </c>
      <c r="G257" s="28">
        <f>IF($C257="","",IF(AND($E257&lt;&gt;"Applied",$E257&lt;&gt;""),"-",IF($H257="Yes","Followed up",IF(TODAY()&gt;$F257,"Overdue by "&amp;(TODAY()-$F257)&amp;IF(TODAY()-$F257=1," day"," days"),IF(TODAY()=$F257,"Follow up today","Due in "&amp;($F257-TODAY())&amp;IF($F257-TODAY()=1," day"," days"))))))</f>
        <v/>
      </c>
      <c r="H257" s="25" t="n"/>
      <c r="I257" s="25" t="n"/>
      <c r="J257" s="25" t="n"/>
      <c r="K257" s="25" t="n"/>
    </row>
    <row r="258" ht="18" customHeight="1">
      <c r="A258" s="25" t="n"/>
      <c r="B258" s="25" t="n"/>
      <c r="C258" s="26" t="n"/>
      <c r="D258" s="25" t="n"/>
      <c r="E258" s="25" t="n"/>
      <c r="F258" s="27">
        <f>IF($C258="","",$C258+7)</f>
        <v/>
      </c>
      <c r="G258" s="28">
        <f>IF($C258="","",IF(AND($E258&lt;&gt;"Applied",$E258&lt;&gt;""),"-",IF($H258="Yes","Followed up",IF(TODAY()&gt;$F258,"Overdue by "&amp;(TODAY()-$F258)&amp;IF(TODAY()-$F258=1," day"," days"),IF(TODAY()=$F258,"Follow up today","Due in "&amp;($F258-TODAY())&amp;IF($F258-TODAY()=1," day"," days"))))))</f>
        <v/>
      </c>
      <c r="H258" s="25" t="n"/>
      <c r="I258" s="25" t="n"/>
      <c r="J258" s="25" t="n"/>
      <c r="K258" s="25" t="n"/>
    </row>
    <row r="259" ht="18" customHeight="1">
      <c r="A259" s="25" t="n"/>
      <c r="B259" s="25" t="n"/>
      <c r="C259" s="26" t="n"/>
      <c r="D259" s="25" t="n"/>
      <c r="E259" s="25" t="n"/>
      <c r="F259" s="27">
        <f>IF($C259="","",$C259+7)</f>
        <v/>
      </c>
      <c r="G259" s="28">
        <f>IF($C259="","",IF(AND($E259&lt;&gt;"Applied",$E259&lt;&gt;""),"-",IF($H259="Yes","Followed up",IF(TODAY()&gt;$F259,"Overdue by "&amp;(TODAY()-$F259)&amp;IF(TODAY()-$F259=1," day"," days"),IF(TODAY()=$F259,"Follow up today","Due in "&amp;($F259-TODAY())&amp;IF($F259-TODAY()=1," day"," days"))))))</f>
        <v/>
      </c>
      <c r="H259" s="25" t="n"/>
      <c r="I259" s="25" t="n"/>
      <c r="J259" s="25" t="n"/>
      <c r="K259" s="25" t="n"/>
    </row>
    <row r="260" ht="18" customHeight="1">
      <c r="A260" s="25" t="n"/>
      <c r="B260" s="25" t="n"/>
      <c r="C260" s="26" t="n"/>
      <c r="D260" s="25" t="n"/>
      <c r="E260" s="25" t="n"/>
      <c r="F260" s="27">
        <f>IF($C260="","",$C260+7)</f>
        <v/>
      </c>
      <c r="G260" s="28">
        <f>IF($C260="","",IF(AND($E260&lt;&gt;"Applied",$E260&lt;&gt;""),"-",IF($H260="Yes","Followed up",IF(TODAY()&gt;$F260,"Overdue by "&amp;(TODAY()-$F260)&amp;IF(TODAY()-$F260=1," day"," days"),IF(TODAY()=$F260,"Follow up today","Due in "&amp;($F260-TODAY())&amp;IF($F260-TODAY()=1," day"," days"))))))</f>
        <v/>
      </c>
      <c r="H260" s="25" t="n"/>
      <c r="I260" s="25" t="n"/>
      <c r="J260" s="25" t="n"/>
      <c r="K260" s="25" t="n"/>
    </row>
    <row r="261" ht="18" customHeight="1">
      <c r="A261" s="25" t="n"/>
      <c r="B261" s="25" t="n"/>
      <c r="C261" s="26" t="n"/>
      <c r="D261" s="25" t="n"/>
      <c r="E261" s="25" t="n"/>
      <c r="F261" s="27">
        <f>IF($C261="","",$C261+7)</f>
        <v/>
      </c>
      <c r="G261" s="28">
        <f>IF($C261="","",IF(AND($E261&lt;&gt;"Applied",$E261&lt;&gt;""),"-",IF($H261="Yes","Followed up",IF(TODAY()&gt;$F261,"Overdue by "&amp;(TODAY()-$F261)&amp;IF(TODAY()-$F261=1," day"," days"),IF(TODAY()=$F261,"Follow up today","Due in "&amp;($F261-TODAY())&amp;IF($F261-TODAY()=1," day"," days"))))))</f>
        <v/>
      </c>
      <c r="H261" s="25" t="n"/>
      <c r="I261" s="25" t="n"/>
      <c r="J261" s="25" t="n"/>
      <c r="K261" s="25" t="n"/>
    </row>
    <row r="262" ht="18" customHeight="1">
      <c r="A262" s="25" t="n"/>
      <c r="B262" s="25" t="n"/>
      <c r="C262" s="26" t="n"/>
      <c r="D262" s="25" t="n"/>
      <c r="E262" s="25" t="n"/>
      <c r="F262" s="27">
        <f>IF($C262="","",$C262+7)</f>
        <v/>
      </c>
      <c r="G262" s="28">
        <f>IF($C262="","",IF(AND($E262&lt;&gt;"Applied",$E262&lt;&gt;""),"-",IF($H262="Yes","Followed up",IF(TODAY()&gt;$F262,"Overdue by "&amp;(TODAY()-$F262)&amp;IF(TODAY()-$F262=1," day"," days"),IF(TODAY()=$F262,"Follow up today","Due in "&amp;($F262-TODAY())&amp;IF($F262-TODAY()=1," day"," days"))))))</f>
        <v/>
      </c>
      <c r="H262" s="25" t="n"/>
      <c r="I262" s="25" t="n"/>
      <c r="J262" s="25" t="n"/>
      <c r="K262" s="25" t="n"/>
    </row>
    <row r="263" ht="18" customHeight="1">
      <c r="A263" s="25" t="n"/>
      <c r="B263" s="25" t="n"/>
      <c r="C263" s="26" t="n"/>
      <c r="D263" s="25" t="n"/>
      <c r="E263" s="25" t="n"/>
      <c r="F263" s="27">
        <f>IF($C263="","",$C263+7)</f>
        <v/>
      </c>
      <c r="G263" s="28">
        <f>IF($C263="","",IF(AND($E263&lt;&gt;"Applied",$E263&lt;&gt;""),"-",IF($H263="Yes","Followed up",IF(TODAY()&gt;$F263,"Overdue by "&amp;(TODAY()-$F263)&amp;IF(TODAY()-$F263=1," day"," days"),IF(TODAY()=$F263,"Follow up today","Due in "&amp;($F263-TODAY())&amp;IF($F263-TODAY()=1," day"," days"))))))</f>
        <v/>
      </c>
      <c r="H263" s="25" t="n"/>
      <c r="I263" s="25" t="n"/>
      <c r="J263" s="25" t="n"/>
      <c r="K263" s="25" t="n"/>
    </row>
    <row r="264" ht="18" customHeight="1">
      <c r="A264" s="25" t="n"/>
      <c r="B264" s="25" t="n"/>
      <c r="C264" s="26" t="n"/>
      <c r="D264" s="25" t="n"/>
      <c r="E264" s="25" t="n"/>
      <c r="F264" s="27">
        <f>IF($C264="","",$C264+7)</f>
        <v/>
      </c>
      <c r="G264" s="28">
        <f>IF($C264="","",IF(AND($E264&lt;&gt;"Applied",$E264&lt;&gt;""),"-",IF($H264="Yes","Followed up",IF(TODAY()&gt;$F264,"Overdue by "&amp;(TODAY()-$F264)&amp;IF(TODAY()-$F264=1," day"," days"),IF(TODAY()=$F264,"Follow up today","Due in "&amp;($F264-TODAY())&amp;IF($F264-TODAY()=1," day"," days"))))))</f>
        <v/>
      </c>
      <c r="H264" s="25" t="n"/>
      <c r="I264" s="25" t="n"/>
      <c r="J264" s="25" t="n"/>
      <c r="K264" s="25" t="n"/>
    </row>
    <row r="265" ht="18" customHeight="1">
      <c r="A265" s="25" t="n"/>
      <c r="B265" s="25" t="n"/>
      <c r="C265" s="26" t="n"/>
      <c r="D265" s="25" t="n"/>
      <c r="E265" s="25" t="n"/>
      <c r="F265" s="27">
        <f>IF($C265="","",$C265+7)</f>
        <v/>
      </c>
      <c r="G265" s="28">
        <f>IF($C265="","",IF(AND($E265&lt;&gt;"Applied",$E265&lt;&gt;""),"-",IF($H265="Yes","Followed up",IF(TODAY()&gt;$F265,"Overdue by "&amp;(TODAY()-$F265)&amp;IF(TODAY()-$F265=1," day"," days"),IF(TODAY()=$F265,"Follow up today","Due in "&amp;($F265-TODAY())&amp;IF($F265-TODAY()=1," day"," days"))))))</f>
        <v/>
      </c>
      <c r="H265" s="25" t="n"/>
      <c r="I265" s="25" t="n"/>
      <c r="J265" s="25" t="n"/>
      <c r="K265" s="25" t="n"/>
    </row>
    <row r="266" ht="18" customHeight="1">
      <c r="A266" s="25" t="n"/>
      <c r="B266" s="25" t="n"/>
      <c r="C266" s="26" t="n"/>
      <c r="D266" s="25" t="n"/>
      <c r="E266" s="25" t="n"/>
      <c r="F266" s="27">
        <f>IF($C266="","",$C266+7)</f>
        <v/>
      </c>
      <c r="G266" s="28">
        <f>IF($C266="","",IF(AND($E266&lt;&gt;"Applied",$E266&lt;&gt;""),"-",IF($H266="Yes","Followed up",IF(TODAY()&gt;$F266,"Overdue by "&amp;(TODAY()-$F266)&amp;IF(TODAY()-$F266=1," day"," days"),IF(TODAY()=$F266,"Follow up today","Due in "&amp;($F266-TODAY())&amp;IF($F266-TODAY()=1," day"," days"))))))</f>
        <v/>
      </c>
      <c r="H266" s="25" t="n"/>
      <c r="I266" s="25" t="n"/>
      <c r="J266" s="25" t="n"/>
      <c r="K266" s="25" t="n"/>
    </row>
    <row r="267" ht="18" customHeight="1">
      <c r="A267" s="25" t="n"/>
      <c r="B267" s="25" t="n"/>
      <c r="C267" s="26" t="n"/>
      <c r="D267" s="25" t="n"/>
      <c r="E267" s="25" t="n"/>
      <c r="F267" s="27">
        <f>IF($C267="","",$C267+7)</f>
        <v/>
      </c>
      <c r="G267" s="28">
        <f>IF($C267="","",IF(AND($E267&lt;&gt;"Applied",$E267&lt;&gt;""),"-",IF($H267="Yes","Followed up",IF(TODAY()&gt;$F267,"Overdue by "&amp;(TODAY()-$F267)&amp;IF(TODAY()-$F267=1," day"," days"),IF(TODAY()=$F267,"Follow up today","Due in "&amp;($F267-TODAY())&amp;IF($F267-TODAY()=1," day"," days"))))))</f>
        <v/>
      </c>
      <c r="H267" s="25" t="n"/>
      <c r="I267" s="25" t="n"/>
      <c r="J267" s="25" t="n"/>
      <c r="K267" s="25" t="n"/>
    </row>
    <row r="268" ht="18" customHeight="1">
      <c r="A268" s="25" t="n"/>
      <c r="B268" s="25" t="n"/>
      <c r="C268" s="26" t="n"/>
      <c r="D268" s="25" t="n"/>
      <c r="E268" s="25" t="n"/>
      <c r="F268" s="27">
        <f>IF($C268="","",$C268+7)</f>
        <v/>
      </c>
      <c r="G268" s="28">
        <f>IF($C268="","",IF(AND($E268&lt;&gt;"Applied",$E268&lt;&gt;""),"-",IF($H268="Yes","Followed up",IF(TODAY()&gt;$F268,"Overdue by "&amp;(TODAY()-$F268)&amp;IF(TODAY()-$F268=1," day"," days"),IF(TODAY()=$F268,"Follow up today","Due in "&amp;($F268-TODAY())&amp;IF($F268-TODAY()=1," day"," days"))))))</f>
        <v/>
      </c>
      <c r="H268" s="25" t="n"/>
      <c r="I268" s="25" t="n"/>
      <c r="J268" s="25" t="n"/>
      <c r="K268" s="25" t="n"/>
    </row>
    <row r="269" ht="18" customHeight="1">
      <c r="A269" s="25" t="n"/>
      <c r="B269" s="25" t="n"/>
      <c r="C269" s="26" t="n"/>
      <c r="D269" s="25" t="n"/>
      <c r="E269" s="25" t="n"/>
      <c r="F269" s="27">
        <f>IF($C269="","",$C269+7)</f>
        <v/>
      </c>
      <c r="G269" s="28">
        <f>IF($C269="","",IF(AND($E269&lt;&gt;"Applied",$E269&lt;&gt;""),"-",IF($H269="Yes","Followed up",IF(TODAY()&gt;$F269,"Overdue by "&amp;(TODAY()-$F269)&amp;IF(TODAY()-$F269=1," day"," days"),IF(TODAY()=$F269,"Follow up today","Due in "&amp;($F269-TODAY())&amp;IF($F269-TODAY()=1," day"," days"))))))</f>
        <v/>
      </c>
      <c r="H269" s="25" t="n"/>
      <c r="I269" s="25" t="n"/>
      <c r="J269" s="25" t="n"/>
      <c r="K269" s="25" t="n"/>
    </row>
    <row r="270" ht="18" customHeight="1">
      <c r="A270" s="25" t="n"/>
      <c r="B270" s="25" t="n"/>
      <c r="C270" s="26" t="n"/>
      <c r="D270" s="25" t="n"/>
      <c r="E270" s="25" t="n"/>
      <c r="F270" s="27">
        <f>IF($C270="","",$C270+7)</f>
        <v/>
      </c>
      <c r="G270" s="28">
        <f>IF($C270="","",IF(AND($E270&lt;&gt;"Applied",$E270&lt;&gt;""),"-",IF($H270="Yes","Followed up",IF(TODAY()&gt;$F270,"Overdue by "&amp;(TODAY()-$F270)&amp;IF(TODAY()-$F270=1," day"," days"),IF(TODAY()=$F270,"Follow up today","Due in "&amp;($F270-TODAY())&amp;IF($F270-TODAY()=1," day"," days"))))))</f>
        <v/>
      </c>
      <c r="H270" s="25" t="n"/>
      <c r="I270" s="25" t="n"/>
      <c r="J270" s="25" t="n"/>
      <c r="K270" s="25" t="n"/>
    </row>
    <row r="271" ht="18" customHeight="1">
      <c r="A271" s="25" t="n"/>
      <c r="B271" s="25" t="n"/>
      <c r="C271" s="26" t="n"/>
      <c r="D271" s="25" t="n"/>
      <c r="E271" s="25" t="n"/>
      <c r="F271" s="27">
        <f>IF($C271="","",$C271+7)</f>
        <v/>
      </c>
      <c r="G271" s="28">
        <f>IF($C271="","",IF(AND($E271&lt;&gt;"Applied",$E271&lt;&gt;""),"-",IF($H271="Yes","Followed up",IF(TODAY()&gt;$F271,"Overdue by "&amp;(TODAY()-$F271)&amp;IF(TODAY()-$F271=1," day"," days"),IF(TODAY()=$F271,"Follow up today","Due in "&amp;($F271-TODAY())&amp;IF($F271-TODAY()=1," day"," days"))))))</f>
        <v/>
      </c>
      <c r="H271" s="25" t="n"/>
      <c r="I271" s="25" t="n"/>
      <c r="J271" s="25" t="n"/>
      <c r="K271" s="25" t="n"/>
    </row>
    <row r="272" ht="18" customHeight="1">
      <c r="A272" s="25" t="n"/>
      <c r="B272" s="25" t="n"/>
      <c r="C272" s="26" t="n"/>
      <c r="D272" s="25" t="n"/>
      <c r="E272" s="25" t="n"/>
      <c r="F272" s="27">
        <f>IF($C272="","",$C272+7)</f>
        <v/>
      </c>
      <c r="G272" s="28">
        <f>IF($C272="","",IF(AND($E272&lt;&gt;"Applied",$E272&lt;&gt;""),"-",IF($H272="Yes","Followed up",IF(TODAY()&gt;$F272,"Overdue by "&amp;(TODAY()-$F272)&amp;IF(TODAY()-$F272=1," day"," days"),IF(TODAY()=$F272,"Follow up today","Due in "&amp;($F272-TODAY())&amp;IF($F272-TODAY()=1," day"," days"))))))</f>
        <v/>
      </c>
      <c r="H272" s="25" t="n"/>
      <c r="I272" s="25" t="n"/>
      <c r="J272" s="25" t="n"/>
      <c r="K272" s="25" t="n"/>
    </row>
    <row r="273" ht="18" customHeight="1">
      <c r="A273" s="25" t="n"/>
      <c r="B273" s="25" t="n"/>
      <c r="C273" s="26" t="n"/>
      <c r="D273" s="25" t="n"/>
      <c r="E273" s="25" t="n"/>
      <c r="F273" s="27">
        <f>IF($C273="","",$C273+7)</f>
        <v/>
      </c>
      <c r="G273" s="28">
        <f>IF($C273="","",IF(AND($E273&lt;&gt;"Applied",$E273&lt;&gt;""),"-",IF($H273="Yes","Followed up",IF(TODAY()&gt;$F273,"Overdue by "&amp;(TODAY()-$F273)&amp;IF(TODAY()-$F273=1," day"," days"),IF(TODAY()=$F273,"Follow up today","Due in "&amp;($F273-TODAY())&amp;IF($F273-TODAY()=1," day"," days"))))))</f>
        <v/>
      </c>
      <c r="H273" s="25" t="n"/>
      <c r="I273" s="25" t="n"/>
      <c r="J273" s="25" t="n"/>
      <c r="K273" s="25" t="n"/>
    </row>
    <row r="274" ht="18" customHeight="1">
      <c r="A274" s="25" t="n"/>
      <c r="B274" s="25" t="n"/>
      <c r="C274" s="26" t="n"/>
      <c r="D274" s="25" t="n"/>
      <c r="E274" s="25" t="n"/>
      <c r="F274" s="27">
        <f>IF($C274="","",$C274+7)</f>
        <v/>
      </c>
      <c r="G274" s="28">
        <f>IF($C274="","",IF(AND($E274&lt;&gt;"Applied",$E274&lt;&gt;""),"-",IF($H274="Yes","Followed up",IF(TODAY()&gt;$F274,"Overdue by "&amp;(TODAY()-$F274)&amp;IF(TODAY()-$F274=1," day"," days"),IF(TODAY()=$F274,"Follow up today","Due in "&amp;($F274-TODAY())&amp;IF($F274-TODAY()=1," day"," days"))))))</f>
        <v/>
      </c>
      <c r="H274" s="25" t="n"/>
      <c r="I274" s="25" t="n"/>
      <c r="J274" s="25" t="n"/>
      <c r="K274" s="25" t="n"/>
    </row>
    <row r="275" ht="18" customHeight="1">
      <c r="A275" s="25" t="n"/>
      <c r="B275" s="25" t="n"/>
      <c r="C275" s="26" t="n"/>
      <c r="D275" s="25" t="n"/>
      <c r="E275" s="25" t="n"/>
      <c r="F275" s="27">
        <f>IF($C275="","",$C275+7)</f>
        <v/>
      </c>
      <c r="G275" s="28">
        <f>IF($C275="","",IF(AND($E275&lt;&gt;"Applied",$E275&lt;&gt;""),"-",IF($H275="Yes","Followed up",IF(TODAY()&gt;$F275,"Overdue by "&amp;(TODAY()-$F275)&amp;IF(TODAY()-$F275=1," day"," days"),IF(TODAY()=$F275,"Follow up today","Due in "&amp;($F275-TODAY())&amp;IF($F275-TODAY()=1," day"," days"))))))</f>
        <v/>
      </c>
      <c r="H275" s="25" t="n"/>
      <c r="I275" s="25" t="n"/>
      <c r="J275" s="25" t="n"/>
      <c r="K275" s="25" t="n"/>
    </row>
    <row r="276" ht="18" customHeight="1">
      <c r="A276" s="25" t="n"/>
      <c r="B276" s="25" t="n"/>
      <c r="C276" s="26" t="n"/>
      <c r="D276" s="25" t="n"/>
      <c r="E276" s="25" t="n"/>
      <c r="F276" s="27">
        <f>IF($C276="","",$C276+7)</f>
        <v/>
      </c>
      <c r="G276" s="28">
        <f>IF($C276="","",IF(AND($E276&lt;&gt;"Applied",$E276&lt;&gt;""),"-",IF($H276="Yes","Followed up",IF(TODAY()&gt;$F276,"Overdue by "&amp;(TODAY()-$F276)&amp;IF(TODAY()-$F276=1," day"," days"),IF(TODAY()=$F276,"Follow up today","Due in "&amp;($F276-TODAY())&amp;IF($F276-TODAY()=1," day"," days"))))))</f>
        <v/>
      </c>
      <c r="H276" s="25" t="n"/>
      <c r="I276" s="25" t="n"/>
      <c r="J276" s="25" t="n"/>
      <c r="K276" s="25" t="n"/>
    </row>
    <row r="277" ht="18" customHeight="1">
      <c r="A277" s="25" t="n"/>
      <c r="B277" s="25" t="n"/>
      <c r="C277" s="26" t="n"/>
      <c r="D277" s="25" t="n"/>
      <c r="E277" s="25" t="n"/>
      <c r="F277" s="27">
        <f>IF($C277="","",$C277+7)</f>
        <v/>
      </c>
      <c r="G277" s="28">
        <f>IF($C277="","",IF(AND($E277&lt;&gt;"Applied",$E277&lt;&gt;""),"-",IF($H277="Yes","Followed up",IF(TODAY()&gt;$F277,"Overdue by "&amp;(TODAY()-$F277)&amp;IF(TODAY()-$F277=1," day"," days"),IF(TODAY()=$F277,"Follow up today","Due in "&amp;($F277-TODAY())&amp;IF($F277-TODAY()=1," day"," days"))))))</f>
        <v/>
      </c>
      <c r="H277" s="25" t="n"/>
      <c r="I277" s="25" t="n"/>
      <c r="J277" s="25" t="n"/>
      <c r="K277" s="25" t="n"/>
    </row>
    <row r="278" ht="18" customHeight="1">
      <c r="A278" s="25" t="n"/>
      <c r="B278" s="25" t="n"/>
      <c r="C278" s="26" t="n"/>
      <c r="D278" s="25" t="n"/>
      <c r="E278" s="25" t="n"/>
      <c r="F278" s="27">
        <f>IF($C278="","",$C278+7)</f>
        <v/>
      </c>
      <c r="G278" s="28">
        <f>IF($C278="","",IF(AND($E278&lt;&gt;"Applied",$E278&lt;&gt;""),"-",IF($H278="Yes","Followed up",IF(TODAY()&gt;$F278,"Overdue by "&amp;(TODAY()-$F278)&amp;IF(TODAY()-$F278=1," day"," days"),IF(TODAY()=$F278,"Follow up today","Due in "&amp;($F278-TODAY())&amp;IF($F278-TODAY()=1," day"," days"))))))</f>
        <v/>
      </c>
      <c r="H278" s="25" t="n"/>
      <c r="I278" s="25" t="n"/>
      <c r="J278" s="25" t="n"/>
      <c r="K278" s="25" t="n"/>
    </row>
    <row r="279" ht="18" customHeight="1">
      <c r="A279" s="25" t="n"/>
      <c r="B279" s="25" t="n"/>
      <c r="C279" s="26" t="n"/>
      <c r="D279" s="25" t="n"/>
      <c r="E279" s="25" t="n"/>
      <c r="F279" s="27">
        <f>IF($C279="","",$C279+7)</f>
        <v/>
      </c>
      <c r="G279" s="28">
        <f>IF($C279="","",IF(AND($E279&lt;&gt;"Applied",$E279&lt;&gt;""),"-",IF($H279="Yes","Followed up",IF(TODAY()&gt;$F279,"Overdue by "&amp;(TODAY()-$F279)&amp;IF(TODAY()-$F279=1," day"," days"),IF(TODAY()=$F279,"Follow up today","Due in "&amp;($F279-TODAY())&amp;IF($F279-TODAY()=1," day"," days"))))))</f>
        <v/>
      </c>
      <c r="H279" s="25" t="n"/>
      <c r="I279" s="25" t="n"/>
      <c r="J279" s="25" t="n"/>
      <c r="K279" s="25" t="n"/>
    </row>
    <row r="280" ht="18" customHeight="1">
      <c r="A280" s="25" t="n"/>
      <c r="B280" s="25" t="n"/>
      <c r="C280" s="26" t="n"/>
      <c r="D280" s="25" t="n"/>
      <c r="E280" s="25" t="n"/>
      <c r="F280" s="27">
        <f>IF($C280="","",$C280+7)</f>
        <v/>
      </c>
      <c r="G280" s="28">
        <f>IF($C280="","",IF(AND($E280&lt;&gt;"Applied",$E280&lt;&gt;""),"-",IF($H280="Yes","Followed up",IF(TODAY()&gt;$F280,"Overdue by "&amp;(TODAY()-$F280)&amp;IF(TODAY()-$F280=1," day"," days"),IF(TODAY()=$F280,"Follow up today","Due in "&amp;($F280-TODAY())&amp;IF($F280-TODAY()=1," day"," days"))))))</f>
        <v/>
      </c>
      <c r="H280" s="25" t="n"/>
      <c r="I280" s="25" t="n"/>
      <c r="J280" s="25" t="n"/>
      <c r="K280" s="25" t="n"/>
    </row>
    <row r="281" ht="18" customHeight="1">
      <c r="A281" s="25" t="n"/>
      <c r="B281" s="25" t="n"/>
      <c r="C281" s="26" t="n"/>
      <c r="D281" s="25" t="n"/>
      <c r="E281" s="25" t="n"/>
      <c r="F281" s="27">
        <f>IF($C281="","",$C281+7)</f>
        <v/>
      </c>
      <c r="G281" s="28">
        <f>IF($C281="","",IF(AND($E281&lt;&gt;"Applied",$E281&lt;&gt;""),"-",IF($H281="Yes","Followed up",IF(TODAY()&gt;$F281,"Overdue by "&amp;(TODAY()-$F281)&amp;IF(TODAY()-$F281=1," day"," days"),IF(TODAY()=$F281,"Follow up today","Due in "&amp;($F281-TODAY())&amp;IF($F281-TODAY()=1," day"," days"))))))</f>
        <v/>
      </c>
      <c r="H281" s="25" t="n"/>
      <c r="I281" s="25" t="n"/>
      <c r="J281" s="25" t="n"/>
      <c r="K281" s="25" t="n"/>
    </row>
    <row r="282" ht="18" customHeight="1">
      <c r="A282" s="25" t="n"/>
      <c r="B282" s="25" t="n"/>
      <c r="C282" s="26" t="n"/>
      <c r="D282" s="25" t="n"/>
      <c r="E282" s="25" t="n"/>
      <c r="F282" s="27">
        <f>IF($C282="","",$C282+7)</f>
        <v/>
      </c>
      <c r="G282" s="28">
        <f>IF($C282="","",IF(AND($E282&lt;&gt;"Applied",$E282&lt;&gt;""),"-",IF($H282="Yes","Followed up",IF(TODAY()&gt;$F282,"Overdue by "&amp;(TODAY()-$F282)&amp;IF(TODAY()-$F282=1," day"," days"),IF(TODAY()=$F282,"Follow up today","Due in "&amp;($F282-TODAY())&amp;IF($F282-TODAY()=1," day"," days"))))))</f>
        <v/>
      </c>
      <c r="H282" s="25" t="n"/>
      <c r="I282" s="25" t="n"/>
      <c r="J282" s="25" t="n"/>
      <c r="K282" s="25" t="n"/>
    </row>
    <row r="283" ht="18" customHeight="1">
      <c r="A283" s="25" t="n"/>
      <c r="B283" s="25" t="n"/>
      <c r="C283" s="26" t="n"/>
      <c r="D283" s="25" t="n"/>
      <c r="E283" s="25" t="n"/>
      <c r="F283" s="27">
        <f>IF($C283="","",$C283+7)</f>
        <v/>
      </c>
      <c r="G283" s="28">
        <f>IF($C283="","",IF(AND($E283&lt;&gt;"Applied",$E283&lt;&gt;""),"-",IF($H283="Yes","Followed up",IF(TODAY()&gt;$F283,"Overdue by "&amp;(TODAY()-$F283)&amp;IF(TODAY()-$F283=1," day"," days"),IF(TODAY()=$F283,"Follow up today","Due in "&amp;($F283-TODAY())&amp;IF($F283-TODAY()=1," day"," days"))))))</f>
        <v/>
      </c>
      <c r="H283" s="25" t="n"/>
      <c r="I283" s="25" t="n"/>
      <c r="J283" s="25" t="n"/>
      <c r="K283" s="25" t="n"/>
    </row>
    <row r="284" ht="18" customHeight="1">
      <c r="A284" s="25" t="n"/>
      <c r="B284" s="25" t="n"/>
      <c r="C284" s="26" t="n"/>
      <c r="D284" s="25" t="n"/>
      <c r="E284" s="25" t="n"/>
      <c r="F284" s="27">
        <f>IF($C284="","",$C284+7)</f>
        <v/>
      </c>
      <c r="G284" s="28">
        <f>IF($C284="","",IF(AND($E284&lt;&gt;"Applied",$E284&lt;&gt;""),"-",IF($H284="Yes","Followed up",IF(TODAY()&gt;$F284,"Overdue by "&amp;(TODAY()-$F284)&amp;IF(TODAY()-$F284=1," day"," days"),IF(TODAY()=$F284,"Follow up today","Due in "&amp;($F284-TODAY())&amp;IF($F284-TODAY()=1," day"," days"))))))</f>
        <v/>
      </c>
      <c r="H284" s="25" t="n"/>
      <c r="I284" s="25" t="n"/>
      <c r="J284" s="25" t="n"/>
      <c r="K284" s="25" t="n"/>
    </row>
    <row r="285" ht="18" customHeight="1">
      <c r="A285" s="25" t="n"/>
      <c r="B285" s="25" t="n"/>
      <c r="C285" s="26" t="n"/>
      <c r="D285" s="25" t="n"/>
      <c r="E285" s="25" t="n"/>
      <c r="F285" s="27">
        <f>IF($C285="","",$C285+7)</f>
        <v/>
      </c>
      <c r="G285" s="28">
        <f>IF($C285="","",IF(AND($E285&lt;&gt;"Applied",$E285&lt;&gt;""),"-",IF($H285="Yes","Followed up",IF(TODAY()&gt;$F285,"Overdue by "&amp;(TODAY()-$F285)&amp;IF(TODAY()-$F285=1," day"," days"),IF(TODAY()=$F285,"Follow up today","Due in "&amp;($F285-TODAY())&amp;IF($F285-TODAY()=1," day"," days"))))))</f>
        <v/>
      </c>
      <c r="H285" s="25" t="n"/>
      <c r="I285" s="25" t="n"/>
      <c r="J285" s="25" t="n"/>
      <c r="K285" s="25" t="n"/>
    </row>
    <row r="286" ht="18" customHeight="1">
      <c r="A286" s="25" t="n"/>
      <c r="B286" s="25" t="n"/>
      <c r="C286" s="26" t="n"/>
      <c r="D286" s="25" t="n"/>
      <c r="E286" s="25" t="n"/>
      <c r="F286" s="27">
        <f>IF($C286="","",$C286+7)</f>
        <v/>
      </c>
      <c r="G286" s="28">
        <f>IF($C286="","",IF(AND($E286&lt;&gt;"Applied",$E286&lt;&gt;""),"-",IF($H286="Yes","Followed up",IF(TODAY()&gt;$F286,"Overdue by "&amp;(TODAY()-$F286)&amp;IF(TODAY()-$F286=1," day"," days"),IF(TODAY()=$F286,"Follow up today","Due in "&amp;($F286-TODAY())&amp;IF($F286-TODAY()=1," day"," days"))))))</f>
        <v/>
      </c>
      <c r="H286" s="25" t="n"/>
      <c r="I286" s="25" t="n"/>
      <c r="J286" s="25" t="n"/>
      <c r="K286" s="25" t="n"/>
    </row>
    <row r="287" ht="18" customHeight="1">
      <c r="A287" s="25" t="n"/>
      <c r="B287" s="25" t="n"/>
      <c r="C287" s="26" t="n"/>
      <c r="D287" s="25" t="n"/>
      <c r="E287" s="25" t="n"/>
      <c r="F287" s="27">
        <f>IF($C287="","",$C287+7)</f>
        <v/>
      </c>
      <c r="G287" s="28">
        <f>IF($C287="","",IF(AND($E287&lt;&gt;"Applied",$E287&lt;&gt;""),"-",IF($H287="Yes","Followed up",IF(TODAY()&gt;$F287,"Overdue by "&amp;(TODAY()-$F287)&amp;IF(TODAY()-$F287=1," day"," days"),IF(TODAY()=$F287,"Follow up today","Due in "&amp;($F287-TODAY())&amp;IF($F287-TODAY()=1," day"," days"))))))</f>
        <v/>
      </c>
      <c r="H287" s="25" t="n"/>
      <c r="I287" s="25" t="n"/>
      <c r="J287" s="25" t="n"/>
      <c r="K287" s="25" t="n"/>
    </row>
    <row r="288" ht="18" customHeight="1">
      <c r="A288" s="25" t="n"/>
      <c r="B288" s="25" t="n"/>
      <c r="C288" s="26" t="n"/>
      <c r="D288" s="25" t="n"/>
      <c r="E288" s="25" t="n"/>
      <c r="F288" s="27">
        <f>IF($C288="","",$C288+7)</f>
        <v/>
      </c>
      <c r="G288" s="28">
        <f>IF($C288="","",IF(AND($E288&lt;&gt;"Applied",$E288&lt;&gt;""),"-",IF($H288="Yes","Followed up",IF(TODAY()&gt;$F288,"Overdue by "&amp;(TODAY()-$F288)&amp;IF(TODAY()-$F288=1," day"," days"),IF(TODAY()=$F288,"Follow up today","Due in "&amp;($F288-TODAY())&amp;IF($F288-TODAY()=1," day"," days"))))))</f>
        <v/>
      </c>
      <c r="H288" s="25" t="n"/>
      <c r="I288" s="25" t="n"/>
      <c r="J288" s="25" t="n"/>
      <c r="K288" s="25" t="n"/>
    </row>
    <row r="289" ht="18" customHeight="1">
      <c r="A289" s="25" t="n"/>
      <c r="B289" s="25" t="n"/>
      <c r="C289" s="26" t="n"/>
      <c r="D289" s="25" t="n"/>
      <c r="E289" s="25" t="n"/>
      <c r="F289" s="27">
        <f>IF($C289="","",$C289+7)</f>
        <v/>
      </c>
      <c r="G289" s="28">
        <f>IF($C289="","",IF(AND($E289&lt;&gt;"Applied",$E289&lt;&gt;""),"-",IF($H289="Yes","Followed up",IF(TODAY()&gt;$F289,"Overdue by "&amp;(TODAY()-$F289)&amp;IF(TODAY()-$F289=1," day"," days"),IF(TODAY()=$F289,"Follow up today","Due in "&amp;($F289-TODAY())&amp;IF($F289-TODAY()=1," day"," days"))))))</f>
        <v/>
      </c>
      <c r="H289" s="25" t="n"/>
      <c r="I289" s="25" t="n"/>
      <c r="J289" s="25" t="n"/>
      <c r="K289" s="25" t="n"/>
    </row>
    <row r="290" ht="18" customHeight="1">
      <c r="A290" s="25" t="n"/>
      <c r="B290" s="25" t="n"/>
      <c r="C290" s="26" t="n"/>
      <c r="D290" s="25" t="n"/>
      <c r="E290" s="25" t="n"/>
      <c r="F290" s="27">
        <f>IF($C290="","",$C290+7)</f>
        <v/>
      </c>
      <c r="G290" s="28">
        <f>IF($C290="","",IF(AND($E290&lt;&gt;"Applied",$E290&lt;&gt;""),"-",IF($H290="Yes","Followed up",IF(TODAY()&gt;$F290,"Overdue by "&amp;(TODAY()-$F290)&amp;IF(TODAY()-$F290=1," day"," days"),IF(TODAY()=$F290,"Follow up today","Due in "&amp;($F290-TODAY())&amp;IF($F290-TODAY()=1," day"," days"))))))</f>
        <v/>
      </c>
      <c r="H290" s="25" t="n"/>
      <c r="I290" s="25" t="n"/>
      <c r="J290" s="25" t="n"/>
      <c r="K290" s="25" t="n"/>
    </row>
    <row r="291" ht="18" customHeight="1">
      <c r="A291" s="25" t="n"/>
      <c r="B291" s="25" t="n"/>
      <c r="C291" s="26" t="n"/>
      <c r="D291" s="25" t="n"/>
      <c r="E291" s="25" t="n"/>
      <c r="F291" s="27">
        <f>IF($C291="","",$C291+7)</f>
        <v/>
      </c>
      <c r="G291" s="28">
        <f>IF($C291="","",IF(AND($E291&lt;&gt;"Applied",$E291&lt;&gt;""),"-",IF($H291="Yes","Followed up",IF(TODAY()&gt;$F291,"Overdue by "&amp;(TODAY()-$F291)&amp;IF(TODAY()-$F291=1," day"," days"),IF(TODAY()=$F291,"Follow up today","Due in "&amp;($F291-TODAY())&amp;IF($F291-TODAY()=1," day"," days"))))))</f>
        <v/>
      </c>
      <c r="H291" s="25" t="n"/>
      <c r="I291" s="25" t="n"/>
      <c r="J291" s="25" t="n"/>
      <c r="K291" s="25" t="n"/>
    </row>
    <row r="292" ht="18" customHeight="1">
      <c r="A292" s="25" t="n"/>
      <c r="B292" s="25" t="n"/>
      <c r="C292" s="26" t="n"/>
      <c r="D292" s="25" t="n"/>
      <c r="E292" s="25" t="n"/>
      <c r="F292" s="27">
        <f>IF($C292="","",$C292+7)</f>
        <v/>
      </c>
      <c r="G292" s="28">
        <f>IF($C292="","",IF(AND($E292&lt;&gt;"Applied",$E292&lt;&gt;""),"-",IF($H292="Yes","Followed up",IF(TODAY()&gt;$F292,"Overdue by "&amp;(TODAY()-$F292)&amp;IF(TODAY()-$F292=1," day"," days"),IF(TODAY()=$F292,"Follow up today","Due in "&amp;($F292-TODAY())&amp;IF($F292-TODAY()=1," day"," days"))))))</f>
        <v/>
      </c>
      <c r="H292" s="25" t="n"/>
      <c r="I292" s="25" t="n"/>
      <c r="J292" s="25" t="n"/>
      <c r="K292" s="25" t="n"/>
    </row>
    <row r="293" ht="18" customHeight="1">
      <c r="A293" s="25" t="n"/>
      <c r="B293" s="25" t="n"/>
      <c r="C293" s="26" t="n"/>
      <c r="D293" s="25" t="n"/>
      <c r="E293" s="25" t="n"/>
      <c r="F293" s="27">
        <f>IF($C293="","",$C293+7)</f>
        <v/>
      </c>
      <c r="G293" s="28">
        <f>IF($C293="","",IF(AND($E293&lt;&gt;"Applied",$E293&lt;&gt;""),"-",IF($H293="Yes","Followed up",IF(TODAY()&gt;$F293,"Overdue by "&amp;(TODAY()-$F293)&amp;IF(TODAY()-$F293=1," day"," days"),IF(TODAY()=$F293,"Follow up today","Due in "&amp;($F293-TODAY())&amp;IF($F293-TODAY()=1," day"," days"))))))</f>
        <v/>
      </c>
      <c r="H293" s="25" t="n"/>
      <c r="I293" s="25" t="n"/>
      <c r="J293" s="25" t="n"/>
      <c r="K293" s="25" t="n"/>
    </row>
    <row r="294" ht="18" customHeight="1">
      <c r="A294" s="25" t="n"/>
      <c r="B294" s="25" t="n"/>
      <c r="C294" s="26" t="n"/>
      <c r="D294" s="25" t="n"/>
      <c r="E294" s="25" t="n"/>
      <c r="F294" s="27">
        <f>IF($C294="","",$C294+7)</f>
        <v/>
      </c>
      <c r="G294" s="28">
        <f>IF($C294="","",IF(AND($E294&lt;&gt;"Applied",$E294&lt;&gt;""),"-",IF($H294="Yes","Followed up",IF(TODAY()&gt;$F294,"Overdue by "&amp;(TODAY()-$F294)&amp;IF(TODAY()-$F294=1," day"," days"),IF(TODAY()=$F294,"Follow up today","Due in "&amp;($F294-TODAY())&amp;IF($F294-TODAY()=1," day"," days"))))))</f>
        <v/>
      </c>
      <c r="H294" s="25" t="n"/>
      <c r="I294" s="25" t="n"/>
      <c r="J294" s="25" t="n"/>
      <c r="K294" s="25" t="n"/>
    </row>
    <row r="295" ht="18" customHeight="1">
      <c r="A295" s="25" t="n"/>
      <c r="B295" s="25" t="n"/>
      <c r="C295" s="26" t="n"/>
      <c r="D295" s="25" t="n"/>
      <c r="E295" s="25" t="n"/>
      <c r="F295" s="27">
        <f>IF($C295="","",$C295+7)</f>
        <v/>
      </c>
      <c r="G295" s="28">
        <f>IF($C295="","",IF(AND($E295&lt;&gt;"Applied",$E295&lt;&gt;""),"-",IF($H295="Yes","Followed up",IF(TODAY()&gt;$F295,"Overdue by "&amp;(TODAY()-$F295)&amp;IF(TODAY()-$F295=1," day"," days"),IF(TODAY()=$F295,"Follow up today","Due in "&amp;($F295-TODAY())&amp;IF($F295-TODAY()=1," day"," days"))))))</f>
        <v/>
      </c>
      <c r="H295" s="25" t="n"/>
      <c r="I295" s="25" t="n"/>
      <c r="J295" s="25" t="n"/>
      <c r="K295" s="25" t="n"/>
    </row>
    <row r="296" ht="18" customHeight="1">
      <c r="A296" s="25" t="n"/>
      <c r="B296" s="25" t="n"/>
      <c r="C296" s="26" t="n"/>
      <c r="D296" s="25" t="n"/>
      <c r="E296" s="25" t="n"/>
      <c r="F296" s="27">
        <f>IF($C296="","",$C296+7)</f>
        <v/>
      </c>
      <c r="G296" s="28">
        <f>IF($C296="","",IF(AND($E296&lt;&gt;"Applied",$E296&lt;&gt;""),"-",IF($H296="Yes","Followed up",IF(TODAY()&gt;$F296,"Overdue by "&amp;(TODAY()-$F296)&amp;IF(TODAY()-$F296=1," day"," days"),IF(TODAY()=$F296,"Follow up today","Due in "&amp;($F296-TODAY())&amp;IF($F296-TODAY()=1," day"," days"))))))</f>
        <v/>
      </c>
      <c r="H296" s="25" t="n"/>
      <c r="I296" s="25" t="n"/>
      <c r="J296" s="25" t="n"/>
      <c r="K296" s="25" t="n"/>
    </row>
    <row r="297" ht="18" customHeight="1">
      <c r="A297" s="25" t="n"/>
      <c r="B297" s="25" t="n"/>
      <c r="C297" s="26" t="n"/>
      <c r="D297" s="25" t="n"/>
      <c r="E297" s="25" t="n"/>
      <c r="F297" s="27">
        <f>IF($C297="","",$C297+7)</f>
        <v/>
      </c>
      <c r="G297" s="28">
        <f>IF($C297="","",IF(AND($E297&lt;&gt;"Applied",$E297&lt;&gt;""),"-",IF($H297="Yes","Followed up",IF(TODAY()&gt;$F297,"Overdue by "&amp;(TODAY()-$F297)&amp;IF(TODAY()-$F297=1," day"," days"),IF(TODAY()=$F297,"Follow up today","Due in "&amp;($F297-TODAY())&amp;IF($F297-TODAY()=1," day"," days"))))))</f>
        <v/>
      </c>
      <c r="H297" s="25" t="n"/>
      <c r="I297" s="25" t="n"/>
      <c r="J297" s="25" t="n"/>
      <c r="K297" s="25" t="n"/>
    </row>
    <row r="298" ht="18" customHeight="1">
      <c r="A298" s="25" t="n"/>
      <c r="B298" s="25" t="n"/>
      <c r="C298" s="26" t="n"/>
      <c r="D298" s="25" t="n"/>
      <c r="E298" s="25" t="n"/>
      <c r="F298" s="27">
        <f>IF($C298="","",$C298+7)</f>
        <v/>
      </c>
      <c r="G298" s="28">
        <f>IF($C298="","",IF(AND($E298&lt;&gt;"Applied",$E298&lt;&gt;""),"-",IF($H298="Yes","Followed up",IF(TODAY()&gt;$F298,"Overdue by "&amp;(TODAY()-$F298)&amp;IF(TODAY()-$F298=1," day"," days"),IF(TODAY()=$F298,"Follow up today","Due in "&amp;($F298-TODAY())&amp;IF($F298-TODAY()=1," day"," days"))))))</f>
        <v/>
      </c>
      <c r="H298" s="25" t="n"/>
      <c r="I298" s="25" t="n"/>
      <c r="J298" s="25" t="n"/>
      <c r="K298" s="25" t="n"/>
    </row>
    <row r="299" ht="18" customHeight="1">
      <c r="A299" s="25" t="n"/>
      <c r="B299" s="25" t="n"/>
      <c r="C299" s="26" t="n"/>
      <c r="D299" s="25" t="n"/>
      <c r="E299" s="25" t="n"/>
      <c r="F299" s="27">
        <f>IF($C299="","",$C299+7)</f>
        <v/>
      </c>
      <c r="G299" s="28">
        <f>IF($C299="","",IF(AND($E299&lt;&gt;"Applied",$E299&lt;&gt;""),"-",IF($H299="Yes","Followed up",IF(TODAY()&gt;$F299,"Overdue by "&amp;(TODAY()-$F299)&amp;IF(TODAY()-$F299=1," day"," days"),IF(TODAY()=$F299,"Follow up today","Due in "&amp;($F299-TODAY())&amp;IF($F299-TODAY()=1," day"," days"))))))</f>
        <v/>
      </c>
      <c r="H299" s="25" t="n"/>
      <c r="I299" s="25" t="n"/>
      <c r="J299" s="25" t="n"/>
      <c r="K299" s="25" t="n"/>
    </row>
    <row r="300" ht="18" customHeight="1">
      <c r="A300" s="25" t="n"/>
      <c r="B300" s="25" t="n"/>
      <c r="C300" s="26" t="n"/>
      <c r="D300" s="25" t="n"/>
      <c r="E300" s="25" t="n"/>
      <c r="F300" s="27">
        <f>IF($C300="","",$C300+7)</f>
        <v/>
      </c>
      <c r="G300" s="28">
        <f>IF($C300="","",IF(AND($E300&lt;&gt;"Applied",$E300&lt;&gt;""),"-",IF($H300="Yes","Followed up",IF(TODAY()&gt;$F300,"Overdue by "&amp;(TODAY()-$F300)&amp;IF(TODAY()-$F300=1," day"," days"),IF(TODAY()=$F300,"Follow up today","Due in "&amp;($F300-TODAY())&amp;IF($F300-TODAY()=1," day"," days"))))))</f>
        <v/>
      </c>
      <c r="H300" s="25" t="n"/>
      <c r="I300" s="25" t="n"/>
      <c r="J300" s="25" t="n"/>
      <c r="K300" s="25" t="n"/>
    </row>
    <row r="301" ht="18" customHeight="1">
      <c r="A301" s="25" t="n"/>
      <c r="B301" s="25" t="n"/>
      <c r="C301" s="26" t="n"/>
      <c r="D301" s="25" t="n"/>
      <c r="E301" s="25" t="n"/>
      <c r="F301" s="27">
        <f>IF($C301="","",$C301+7)</f>
        <v/>
      </c>
      <c r="G301" s="28">
        <f>IF($C301="","",IF(AND($E301&lt;&gt;"Applied",$E301&lt;&gt;""),"-",IF($H301="Yes","Followed up",IF(TODAY()&gt;$F301,"Overdue by "&amp;(TODAY()-$F301)&amp;IF(TODAY()-$F301=1," day"," days"),IF(TODAY()=$F301,"Follow up today","Due in "&amp;($F301-TODAY())&amp;IF($F301-TODAY()=1," day"," days"))))))</f>
        <v/>
      </c>
      <c r="H301" s="25" t="n"/>
      <c r="I301" s="25" t="n"/>
      <c r="J301" s="25" t="n"/>
      <c r="K301" s="25" t="n"/>
    </row>
    <row r="302" ht="18" customHeight="1">
      <c r="A302" s="25" t="n"/>
      <c r="B302" s="25" t="n"/>
      <c r="C302" s="26" t="n"/>
      <c r="D302" s="25" t="n"/>
      <c r="E302" s="25" t="n"/>
      <c r="F302" s="27">
        <f>IF($C302="","",$C302+7)</f>
        <v/>
      </c>
      <c r="G302" s="28">
        <f>IF($C302="","",IF(AND($E302&lt;&gt;"Applied",$E302&lt;&gt;""),"-",IF($H302="Yes","Followed up",IF(TODAY()&gt;$F302,"Overdue by "&amp;(TODAY()-$F302)&amp;IF(TODAY()-$F302=1," day"," days"),IF(TODAY()=$F302,"Follow up today","Due in "&amp;($F302-TODAY())&amp;IF($F302-TODAY()=1," day"," days"))))))</f>
        <v/>
      </c>
      <c r="H302" s="25" t="n"/>
      <c r="I302" s="25" t="n"/>
      <c r="J302" s="25" t="n"/>
      <c r="K302" s="25" t="n"/>
    </row>
    <row r="303" ht="18" customHeight="1">
      <c r="A303" s="25" t="n"/>
      <c r="B303" s="25" t="n"/>
      <c r="C303" s="26" t="n"/>
      <c r="D303" s="25" t="n"/>
      <c r="E303" s="25" t="n"/>
      <c r="F303" s="27">
        <f>IF($C303="","",$C303+7)</f>
        <v/>
      </c>
      <c r="G303" s="28">
        <f>IF($C303="","",IF(AND($E303&lt;&gt;"Applied",$E303&lt;&gt;""),"-",IF($H303="Yes","Followed up",IF(TODAY()&gt;$F303,"Overdue by "&amp;(TODAY()-$F303)&amp;IF(TODAY()-$F303=1," day"," days"),IF(TODAY()=$F303,"Follow up today","Due in "&amp;($F303-TODAY())&amp;IF($F303-TODAY()=1," day"," days"))))))</f>
        <v/>
      </c>
      <c r="H303" s="25" t="n"/>
      <c r="I303" s="25" t="n"/>
      <c r="J303" s="25" t="n"/>
      <c r="K303" s="25" t="n"/>
    </row>
    <row r="304" ht="18" customHeight="1">
      <c r="A304" s="25" t="n"/>
      <c r="B304" s="25" t="n"/>
      <c r="C304" s="26" t="n"/>
      <c r="D304" s="25" t="n"/>
      <c r="E304" s="25" t="n"/>
      <c r="F304" s="27">
        <f>IF($C304="","",$C304+7)</f>
        <v/>
      </c>
      <c r="G304" s="28">
        <f>IF($C304="","",IF(AND($E304&lt;&gt;"Applied",$E304&lt;&gt;""),"-",IF($H304="Yes","Followed up",IF(TODAY()&gt;$F304,"Overdue by "&amp;(TODAY()-$F304)&amp;IF(TODAY()-$F304=1," day"," days"),IF(TODAY()=$F304,"Follow up today","Due in "&amp;($F304-TODAY())&amp;IF($F304-TODAY()=1," day"," days"))))))</f>
        <v/>
      </c>
      <c r="H304" s="25" t="n"/>
      <c r="I304" s="25" t="n"/>
      <c r="J304" s="25" t="n"/>
      <c r="K304" s="25" t="n"/>
    </row>
    <row r="305" ht="18" customHeight="1">
      <c r="A305" s="25" t="n"/>
      <c r="B305" s="25" t="n"/>
      <c r="C305" s="26" t="n"/>
      <c r="D305" s="25" t="n"/>
      <c r="E305" s="25" t="n"/>
      <c r="F305" s="27">
        <f>IF($C305="","",$C305+7)</f>
        <v/>
      </c>
      <c r="G305" s="28">
        <f>IF($C305="","",IF(AND($E305&lt;&gt;"Applied",$E305&lt;&gt;""),"-",IF($H305="Yes","Followed up",IF(TODAY()&gt;$F305,"Overdue by "&amp;(TODAY()-$F305)&amp;IF(TODAY()-$F305=1," day"," days"),IF(TODAY()=$F305,"Follow up today","Due in "&amp;($F305-TODAY())&amp;IF($F305-TODAY()=1," day"," days"))))))</f>
        <v/>
      </c>
      <c r="H305" s="25" t="n"/>
      <c r="I305" s="25" t="n"/>
      <c r="J305" s="25" t="n"/>
      <c r="K305" s="25" t="n"/>
    </row>
    <row r="306" ht="18" customHeight="1">
      <c r="A306" s="25" t="n"/>
      <c r="B306" s="25" t="n"/>
      <c r="C306" s="26" t="n"/>
      <c r="D306" s="25" t="n"/>
      <c r="E306" s="25" t="n"/>
      <c r="F306" s="27">
        <f>IF($C306="","",$C306+7)</f>
        <v/>
      </c>
      <c r="G306" s="28">
        <f>IF($C306="","",IF(AND($E306&lt;&gt;"Applied",$E306&lt;&gt;""),"-",IF($H306="Yes","Followed up",IF(TODAY()&gt;$F306,"Overdue by "&amp;(TODAY()-$F306)&amp;IF(TODAY()-$F306=1," day"," days"),IF(TODAY()=$F306,"Follow up today","Due in "&amp;($F306-TODAY())&amp;IF($F306-TODAY()=1," day"," days"))))))</f>
        <v/>
      </c>
      <c r="H306" s="25" t="n"/>
      <c r="I306" s="25" t="n"/>
      <c r="J306" s="25" t="n"/>
      <c r="K306" s="25" t="n"/>
    </row>
    <row r="307" ht="18" customHeight="1">
      <c r="A307" s="25" t="n"/>
      <c r="B307" s="25" t="n"/>
      <c r="C307" s="26" t="n"/>
      <c r="D307" s="25" t="n"/>
      <c r="E307" s="25" t="n"/>
      <c r="F307" s="27">
        <f>IF($C307="","",$C307+7)</f>
        <v/>
      </c>
      <c r="G307" s="28">
        <f>IF($C307="","",IF(AND($E307&lt;&gt;"Applied",$E307&lt;&gt;""),"-",IF($H307="Yes","Followed up",IF(TODAY()&gt;$F307,"Overdue by "&amp;(TODAY()-$F307)&amp;IF(TODAY()-$F307=1," day"," days"),IF(TODAY()=$F307,"Follow up today","Due in "&amp;($F307-TODAY())&amp;IF($F307-TODAY()=1," day"," days"))))))</f>
        <v/>
      </c>
      <c r="H307" s="25" t="n"/>
      <c r="I307" s="25" t="n"/>
      <c r="J307" s="25" t="n"/>
      <c r="K307" s="25" t="n"/>
    </row>
    <row r="308" ht="18" customHeight="1">
      <c r="A308" s="25" t="n"/>
      <c r="B308" s="25" t="n"/>
      <c r="C308" s="26" t="n"/>
      <c r="D308" s="25" t="n"/>
      <c r="E308" s="25" t="n"/>
      <c r="F308" s="27">
        <f>IF($C308="","",$C308+7)</f>
        <v/>
      </c>
      <c r="G308" s="28">
        <f>IF($C308="","",IF(AND($E308&lt;&gt;"Applied",$E308&lt;&gt;""),"-",IF($H308="Yes","Followed up",IF(TODAY()&gt;$F308,"Overdue by "&amp;(TODAY()-$F308)&amp;IF(TODAY()-$F308=1," day"," days"),IF(TODAY()=$F308,"Follow up today","Due in "&amp;($F308-TODAY())&amp;IF($F308-TODAY()=1," day"," days"))))))</f>
        <v/>
      </c>
      <c r="H308" s="25" t="n"/>
      <c r="I308" s="25" t="n"/>
      <c r="J308" s="25" t="n"/>
      <c r="K308" s="25" t="n"/>
    </row>
    <row r="309" ht="18" customHeight="1">
      <c r="A309" s="25" t="n"/>
      <c r="B309" s="25" t="n"/>
      <c r="C309" s="26" t="n"/>
      <c r="D309" s="25" t="n"/>
      <c r="E309" s="25" t="n"/>
      <c r="F309" s="27">
        <f>IF($C309="","",$C309+7)</f>
        <v/>
      </c>
      <c r="G309" s="28">
        <f>IF($C309="","",IF(AND($E309&lt;&gt;"Applied",$E309&lt;&gt;""),"-",IF($H309="Yes","Followed up",IF(TODAY()&gt;$F309,"Overdue by "&amp;(TODAY()-$F309)&amp;IF(TODAY()-$F309=1," day"," days"),IF(TODAY()=$F309,"Follow up today","Due in "&amp;($F309-TODAY())&amp;IF($F309-TODAY()=1," day"," days"))))))</f>
        <v/>
      </c>
      <c r="H309" s="25" t="n"/>
      <c r="I309" s="25" t="n"/>
      <c r="J309" s="25" t="n"/>
      <c r="K309" s="25" t="n"/>
    </row>
    <row r="310" ht="18" customHeight="1">
      <c r="A310" s="25" t="n"/>
      <c r="B310" s="25" t="n"/>
      <c r="C310" s="26" t="n"/>
      <c r="D310" s="25" t="n"/>
      <c r="E310" s="25" t="n"/>
      <c r="F310" s="27">
        <f>IF($C310="","",$C310+7)</f>
        <v/>
      </c>
      <c r="G310" s="28">
        <f>IF($C310="","",IF(AND($E310&lt;&gt;"Applied",$E310&lt;&gt;""),"-",IF($H310="Yes","Followed up",IF(TODAY()&gt;$F310,"Overdue by "&amp;(TODAY()-$F310)&amp;IF(TODAY()-$F310=1," day"," days"),IF(TODAY()=$F310,"Follow up today","Due in "&amp;($F310-TODAY())&amp;IF($F310-TODAY()=1," day"," days"))))))</f>
        <v/>
      </c>
      <c r="H310" s="25" t="n"/>
      <c r="I310" s="25" t="n"/>
      <c r="J310" s="25" t="n"/>
      <c r="K310" s="25" t="n"/>
    </row>
    <row r="311" ht="18" customHeight="1">
      <c r="A311" s="25" t="n"/>
      <c r="B311" s="25" t="n"/>
      <c r="C311" s="26" t="n"/>
      <c r="D311" s="25" t="n"/>
      <c r="E311" s="25" t="n"/>
      <c r="F311" s="27">
        <f>IF($C311="","",$C311+7)</f>
        <v/>
      </c>
      <c r="G311" s="28">
        <f>IF($C311="","",IF(AND($E311&lt;&gt;"Applied",$E311&lt;&gt;""),"-",IF($H311="Yes","Followed up",IF(TODAY()&gt;$F311,"Overdue by "&amp;(TODAY()-$F311)&amp;IF(TODAY()-$F311=1," day"," days"),IF(TODAY()=$F311,"Follow up today","Due in "&amp;($F311-TODAY())&amp;IF($F311-TODAY()=1," day"," days"))))))</f>
        <v/>
      </c>
      <c r="H311" s="25" t="n"/>
      <c r="I311" s="25" t="n"/>
      <c r="J311" s="25" t="n"/>
      <c r="K311" s="25" t="n"/>
    </row>
    <row r="312" ht="18" customHeight="1">
      <c r="A312" s="25" t="n"/>
      <c r="B312" s="25" t="n"/>
      <c r="C312" s="26" t="n"/>
      <c r="D312" s="25" t="n"/>
      <c r="E312" s="25" t="n"/>
      <c r="F312" s="27">
        <f>IF($C312="","",$C312+7)</f>
        <v/>
      </c>
      <c r="G312" s="28">
        <f>IF($C312="","",IF(AND($E312&lt;&gt;"Applied",$E312&lt;&gt;""),"-",IF($H312="Yes","Followed up",IF(TODAY()&gt;$F312,"Overdue by "&amp;(TODAY()-$F312)&amp;IF(TODAY()-$F312=1," day"," days"),IF(TODAY()=$F312,"Follow up today","Due in "&amp;($F312-TODAY())&amp;IF($F312-TODAY()=1," day"," days"))))))</f>
        <v/>
      </c>
      <c r="H312" s="25" t="n"/>
      <c r="I312" s="25" t="n"/>
      <c r="J312" s="25" t="n"/>
      <c r="K312" s="25" t="n"/>
    </row>
    <row r="313" ht="18" customHeight="1">
      <c r="A313" s="25" t="n"/>
      <c r="B313" s="25" t="n"/>
      <c r="C313" s="26" t="n"/>
      <c r="D313" s="25" t="n"/>
      <c r="E313" s="25" t="n"/>
      <c r="F313" s="27">
        <f>IF($C313="","",$C313+7)</f>
        <v/>
      </c>
      <c r="G313" s="28">
        <f>IF($C313="","",IF(AND($E313&lt;&gt;"Applied",$E313&lt;&gt;""),"-",IF($H313="Yes","Followed up",IF(TODAY()&gt;$F313,"Overdue by "&amp;(TODAY()-$F313)&amp;IF(TODAY()-$F313=1," day"," days"),IF(TODAY()=$F313,"Follow up today","Due in "&amp;($F313-TODAY())&amp;IF($F313-TODAY()=1," day"," days"))))))</f>
        <v/>
      </c>
      <c r="H313" s="25" t="n"/>
      <c r="I313" s="25" t="n"/>
      <c r="J313" s="25" t="n"/>
      <c r="K313" s="25" t="n"/>
    </row>
    <row r="314" ht="18" customHeight="1">
      <c r="A314" s="25" t="n"/>
      <c r="B314" s="25" t="n"/>
      <c r="C314" s="26" t="n"/>
      <c r="D314" s="25" t="n"/>
      <c r="E314" s="25" t="n"/>
      <c r="F314" s="27">
        <f>IF($C314="","",$C314+7)</f>
        <v/>
      </c>
      <c r="G314" s="28">
        <f>IF($C314="","",IF(AND($E314&lt;&gt;"Applied",$E314&lt;&gt;""),"-",IF($H314="Yes","Followed up",IF(TODAY()&gt;$F314,"Overdue by "&amp;(TODAY()-$F314)&amp;IF(TODAY()-$F314=1," day"," days"),IF(TODAY()=$F314,"Follow up today","Due in "&amp;($F314-TODAY())&amp;IF($F314-TODAY()=1," day"," days"))))))</f>
        <v/>
      </c>
      <c r="H314" s="25" t="n"/>
      <c r="I314" s="25" t="n"/>
      <c r="J314" s="25" t="n"/>
      <c r="K314" s="25" t="n"/>
    </row>
    <row r="315" ht="18" customHeight="1">
      <c r="A315" s="25" t="n"/>
      <c r="B315" s="25" t="n"/>
      <c r="C315" s="26" t="n"/>
      <c r="D315" s="25" t="n"/>
      <c r="E315" s="25" t="n"/>
      <c r="F315" s="27">
        <f>IF($C315="","",$C315+7)</f>
        <v/>
      </c>
      <c r="G315" s="28">
        <f>IF($C315="","",IF(AND($E315&lt;&gt;"Applied",$E315&lt;&gt;""),"-",IF($H315="Yes","Followed up",IF(TODAY()&gt;$F315,"Overdue by "&amp;(TODAY()-$F315)&amp;IF(TODAY()-$F315=1," day"," days"),IF(TODAY()=$F315,"Follow up today","Due in "&amp;($F315-TODAY())&amp;IF($F315-TODAY()=1," day"," days"))))))</f>
        <v/>
      </c>
      <c r="H315" s="25" t="n"/>
      <c r="I315" s="25" t="n"/>
      <c r="J315" s="25" t="n"/>
      <c r="K315" s="25" t="n"/>
    </row>
    <row r="316" ht="18" customHeight="1">
      <c r="A316" s="25" t="n"/>
      <c r="B316" s="25" t="n"/>
      <c r="C316" s="26" t="n"/>
      <c r="D316" s="25" t="n"/>
      <c r="E316" s="25" t="n"/>
      <c r="F316" s="27">
        <f>IF($C316="","",$C316+7)</f>
        <v/>
      </c>
      <c r="G316" s="28">
        <f>IF($C316="","",IF(AND($E316&lt;&gt;"Applied",$E316&lt;&gt;""),"-",IF($H316="Yes","Followed up",IF(TODAY()&gt;$F316,"Overdue by "&amp;(TODAY()-$F316)&amp;IF(TODAY()-$F316=1," day"," days"),IF(TODAY()=$F316,"Follow up today","Due in "&amp;($F316-TODAY())&amp;IF($F316-TODAY()=1," day"," days"))))))</f>
        <v/>
      </c>
      <c r="H316" s="25" t="n"/>
      <c r="I316" s="25" t="n"/>
      <c r="J316" s="25" t="n"/>
      <c r="K316" s="25" t="n"/>
    </row>
    <row r="317" ht="18" customHeight="1">
      <c r="A317" s="25" t="n"/>
      <c r="B317" s="25" t="n"/>
      <c r="C317" s="26" t="n"/>
      <c r="D317" s="25" t="n"/>
      <c r="E317" s="25" t="n"/>
      <c r="F317" s="27">
        <f>IF($C317="","",$C317+7)</f>
        <v/>
      </c>
      <c r="G317" s="28">
        <f>IF($C317="","",IF(AND($E317&lt;&gt;"Applied",$E317&lt;&gt;""),"-",IF($H317="Yes","Followed up",IF(TODAY()&gt;$F317,"Overdue by "&amp;(TODAY()-$F317)&amp;IF(TODAY()-$F317=1," day"," days"),IF(TODAY()=$F317,"Follow up today","Due in "&amp;($F317-TODAY())&amp;IF($F317-TODAY()=1," day"," days"))))))</f>
        <v/>
      </c>
      <c r="H317" s="25" t="n"/>
      <c r="I317" s="25" t="n"/>
      <c r="J317" s="25" t="n"/>
      <c r="K317" s="25" t="n"/>
    </row>
    <row r="318" ht="18" customHeight="1">
      <c r="A318" s="25" t="n"/>
      <c r="B318" s="25" t="n"/>
      <c r="C318" s="26" t="n"/>
      <c r="D318" s="25" t="n"/>
      <c r="E318" s="25" t="n"/>
      <c r="F318" s="27">
        <f>IF($C318="","",$C318+7)</f>
        <v/>
      </c>
      <c r="G318" s="28">
        <f>IF($C318="","",IF(AND($E318&lt;&gt;"Applied",$E318&lt;&gt;""),"-",IF($H318="Yes","Followed up",IF(TODAY()&gt;$F318,"Overdue by "&amp;(TODAY()-$F318)&amp;IF(TODAY()-$F318=1," day"," days"),IF(TODAY()=$F318,"Follow up today","Due in "&amp;($F318-TODAY())&amp;IF($F318-TODAY()=1," day"," days"))))))</f>
        <v/>
      </c>
      <c r="H318" s="25" t="n"/>
      <c r="I318" s="25" t="n"/>
      <c r="J318" s="25" t="n"/>
      <c r="K318" s="25" t="n"/>
    </row>
    <row r="319" ht="18" customHeight="1">
      <c r="A319" s="25" t="n"/>
      <c r="B319" s="25" t="n"/>
      <c r="C319" s="26" t="n"/>
      <c r="D319" s="25" t="n"/>
      <c r="E319" s="25" t="n"/>
      <c r="F319" s="27">
        <f>IF($C319="","",$C319+7)</f>
        <v/>
      </c>
      <c r="G319" s="28">
        <f>IF($C319="","",IF(AND($E319&lt;&gt;"Applied",$E319&lt;&gt;""),"-",IF($H319="Yes","Followed up",IF(TODAY()&gt;$F319,"Overdue by "&amp;(TODAY()-$F319)&amp;IF(TODAY()-$F319=1," day"," days"),IF(TODAY()=$F319,"Follow up today","Due in "&amp;($F319-TODAY())&amp;IF($F319-TODAY()=1," day"," days"))))))</f>
        <v/>
      </c>
      <c r="H319" s="25" t="n"/>
      <c r="I319" s="25" t="n"/>
      <c r="J319" s="25" t="n"/>
      <c r="K319" s="25" t="n"/>
    </row>
    <row r="320" ht="18" customHeight="1">
      <c r="A320" s="25" t="n"/>
      <c r="B320" s="25" t="n"/>
      <c r="C320" s="26" t="n"/>
      <c r="D320" s="25" t="n"/>
      <c r="E320" s="25" t="n"/>
      <c r="F320" s="27">
        <f>IF($C320="","",$C320+7)</f>
        <v/>
      </c>
      <c r="G320" s="28">
        <f>IF($C320="","",IF(AND($E320&lt;&gt;"Applied",$E320&lt;&gt;""),"-",IF($H320="Yes","Followed up",IF(TODAY()&gt;$F320,"Overdue by "&amp;(TODAY()-$F320)&amp;IF(TODAY()-$F320=1," day"," days"),IF(TODAY()=$F320,"Follow up today","Due in "&amp;($F320-TODAY())&amp;IF($F320-TODAY()=1," day"," days"))))))</f>
        <v/>
      </c>
      <c r="H320" s="25" t="n"/>
      <c r="I320" s="25" t="n"/>
      <c r="J320" s="25" t="n"/>
      <c r="K320" s="25" t="n"/>
    </row>
    <row r="321" ht="18" customHeight="1">
      <c r="A321" s="25" t="n"/>
      <c r="B321" s="25" t="n"/>
      <c r="C321" s="26" t="n"/>
      <c r="D321" s="25" t="n"/>
      <c r="E321" s="25" t="n"/>
      <c r="F321" s="27">
        <f>IF($C321="","",$C321+7)</f>
        <v/>
      </c>
      <c r="G321" s="28">
        <f>IF($C321="","",IF(AND($E321&lt;&gt;"Applied",$E321&lt;&gt;""),"-",IF($H321="Yes","Followed up",IF(TODAY()&gt;$F321,"Overdue by "&amp;(TODAY()-$F321)&amp;IF(TODAY()-$F321=1," day"," days"),IF(TODAY()=$F321,"Follow up today","Due in "&amp;($F321-TODAY())&amp;IF($F321-TODAY()=1," day"," days"))))))</f>
        <v/>
      </c>
      <c r="H321" s="25" t="n"/>
      <c r="I321" s="25" t="n"/>
      <c r="J321" s="25" t="n"/>
      <c r="K321" s="25" t="n"/>
    </row>
    <row r="322" ht="18" customHeight="1">
      <c r="A322" s="25" t="n"/>
      <c r="B322" s="25" t="n"/>
      <c r="C322" s="26" t="n"/>
      <c r="D322" s="25" t="n"/>
      <c r="E322" s="25" t="n"/>
      <c r="F322" s="27">
        <f>IF($C322="","",$C322+7)</f>
        <v/>
      </c>
      <c r="G322" s="28">
        <f>IF($C322="","",IF(AND($E322&lt;&gt;"Applied",$E322&lt;&gt;""),"-",IF($H322="Yes","Followed up",IF(TODAY()&gt;$F322,"Overdue by "&amp;(TODAY()-$F322)&amp;IF(TODAY()-$F322=1," day"," days"),IF(TODAY()=$F322,"Follow up today","Due in "&amp;($F322-TODAY())&amp;IF($F322-TODAY()=1," day"," days"))))))</f>
        <v/>
      </c>
      <c r="H322" s="25" t="n"/>
      <c r="I322" s="25" t="n"/>
      <c r="J322" s="25" t="n"/>
      <c r="K322" s="25" t="n"/>
    </row>
    <row r="323" ht="18" customHeight="1">
      <c r="A323" s="25" t="n"/>
      <c r="B323" s="25" t="n"/>
      <c r="C323" s="26" t="n"/>
      <c r="D323" s="25" t="n"/>
      <c r="E323" s="25" t="n"/>
      <c r="F323" s="27">
        <f>IF($C323="","",$C323+7)</f>
        <v/>
      </c>
      <c r="G323" s="28">
        <f>IF($C323="","",IF(AND($E323&lt;&gt;"Applied",$E323&lt;&gt;""),"-",IF($H323="Yes","Followed up",IF(TODAY()&gt;$F323,"Overdue by "&amp;(TODAY()-$F323)&amp;IF(TODAY()-$F323=1," day"," days"),IF(TODAY()=$F323,"Follow up today","Due in "&amp;($F323-TODAY())&amp;IF($F323-TODAY()=1," day"," days"))))))</f>
        <v/>
      </c>
      <c r="H323" s="25" t="n"/>
      <c r="I323" s="25" t="n"/>
      <c r="J323" s="25" t="n"/>
      <c r="K323" s="25" t="n"/>
    </row>
    <row r="324" ht="18" customHeight="1">
      <c r="A324" s="25" t="n"/>
      <c r="B324" s="25" t="n"/>
      <c r="C324" s="26" t="n"/>
      <c r="D324" s="25" t="n"/>
      <c r="E324" s="25" t="n"/>
      <c r="F324" s="27">
        <f>IF($C324="","",$C324+7)</f>
        <v/>
      </c>
      <c r="G324" s="28">
        <f>IF($C324="","",IF(AND($E324&lt;&gt;"Applied",$E324&lt;&gt;""),"-",IF($H324="Yes","Followed up",IF(TODAY()&gt;$F324,"Overdue by "&amp;(TODAY()-$F324)&amp;IF(TODAY()-$F324=1," day"," days"),IF(TODAY()=$F324,"Follow up today","Due in "&amp;($F324-TODAY())&amp;IF($F324-TODAY()=1," day"," days"))))))</f>
        <v/>
      </c>
      <c r="H324" s="25" t="n"/>
      <c r="I324" s="25" t="n"/>
      <c r="J324" s="25" t="n"/>
      <c r="K324" s="25" t="n"/>
    </row>
    <row r="325" ht="18" customHeight="1">
      <c r="A325" s="25" t="n"/>
      <c r="B325" s="25" t="n"/>
      <c r="C325" s="26" t="n"/>
      <c r="D325" s="25" t="n"/>
      <c r="E325" s="25" t="n"/>
      <c r="F325" s="27">
        <f>IF($C325="","",$C325+7)</f>
        <v/>
      </c>
      <c r="G325" s="28">
        <f>IF($C325="","",IF(AND($E325&lt;&gt;"Applied",$E325&lt;&gt;""),"-",IF($H325="Yes","Followed up",IF(TODAY()&gt;$F325,"Overdue by "&amp;(TODAY()-$F325)&amp;IF(TODAY()-$F325=1," day"," days"),IF(TODAY()=$F325,"Follow up today","Due in "&amp;($F325-TODAY())&amp;IF($F325-TODAY()=1," day"," days"))))))</f>
        <v/>
      </c>
      <c r="H325" s="25" t="n"/>
      <c r="I325" s="25" t="n"/>
      <c r="J325" s="25" t="n"/>
      <c r="K325" s="25" t="n"/>
    </row>
    <row r="326" ht="18" customHeight="1">
      <c r="A326" s="25" t="n"/>
      <c r="B326" s="25" t="n"/>
      <c r="C326" s="26" t="n"/>
      <c r="D326" s="25" t="n"/>
      <c r="E326" s="25" t="n"/>
      <c r="F326" s="27">
        <f>IF($C326="","",$C326+7)</f>
        <v/>
      </c>
      <c r="G326" s="28">
        <f>IF($C326="","",IF(AND($E326&lt;&gt;"Applied",$E326&lt;&gt;""),"-",IF($H326="Yes","Followed up",IF(TODAY()&gt;$F326,"Overdue by "&amp;(TODAY()-$F326)&amp;IF(TODAY()-$F326=1," day"," days"),IF(TODAY()=$F326,"Follow up today","Due in "&amp;($F326-TODAY())&amp;IF($F326-TODAY()=1," day"," days"))))))</f>
        <v/>
      </c>
      <c r="H326" s="25" t="n"/>
      <c r="I326" s="25" t="n"/>
      <c r="J326" s="25" t="n"/>
      <c r="K326" s="25" t="n"/>
    </row>
    <row r="327" ht="18" customHeight="1">
      <c r="A327" s="25" t="n"/>
      <c r="B327" s="25" t="n"/>
      <c r="C327" s="26" t="n"/>
      <c r="D327" s="25" t="n"/>
      <c r="E327" s="25" t="n"/>
      <c r="F327" s="27">
        <f>IF($C327="","",$C327+7)</f>
        <v/>
      </c>
      <c r="G327" s="28">
        <f>IF($C327="","",IF(AND($E327&lt;&gt;"Applied",$E327&lt;&gt;""),"-",IF($H327="Yes","Followed up",IF(TODAY()&gt;$F327,"Overdue by "&amp;(TODAY()-$F327)&amp;IF(TODAY()-$F327=1," day"," days"),IF(TODAY()=$F327,"Follow up today","Due in "&amp;($F327-TODAY())&amp;IF($F327-TODAY()=1," day"," days"))))))</f>
        <v/>
      </c>
      <c r="H327" s="25" t="n"/>
      <c r="I327" s="25" t="n"/>
      <c r="J327" s="25" t="n"/>
      <c r="K327" s="25" t="n"/>
    </row>
    <row r="328" ht="18" customHeight="1">
      <c r="A328" s="25" t="n"/>
      <c r="B328" s="25" t="n"/>
      <c r="C328" s="26" t="n"/>
      <c r="D328" s="25" t="n"/>
      <c r="E328" s="25" t="n"/>
      <c r="F328" s="27">
        <f>IF($C328="","",$C328+7)</f>
        <v/>
      </c>
      <c r="G328" s="28">
        <f>IF($C328="","",IF(AND($E328&lt;&gt;"Applied",$E328&lt;&gt;""),"-",IF($H328="Yes","Followed up",IF(TODAY()&gt;$F328,"Overdue by "&amp;(TODAY()-$F328)&amp;IF(TODAY()-$F328=1," day"," days"),IF(TODAY()=$F328,"Follow up today","Due in "&amp;($F328-TODAY())&amp;IF($F328-TODAY()=1," day"," days"))))))</f>
        <v/>
      </c>
      <c r="H328" s="25" t="n"/>
      <c r="I328" s="25" t="n"/>
      <c r="J328" s="25" t="n"/>
      <c r="K328" s="25" t="n"/>
    </row>
    <row r="329" ht="18" customHeight="1">
      <c r="A329" s="25" t="n"/>
      <c r="B329" s="25" t="n"/>
      <c r="C329" s="26" t="n"/>
      <c r="D329" s="25" t="n"/>
      <c r="E329" s="25" t="n"/>
      <c r="F329" s="27">
        <f>IF($C329="","",$C329+7)</f>
        <v/>
      </c>
      <c r="G329" s="28">
        <f>IF($C329="","",IF(AND($E329&lt;&gt;"Applied",$E329&lt;&gt;""),"-",IF($H329="Yes","Followed up",IF(TODAY()&gt;$F329,"Overdue by "&amp;(TODAY()-$F329)&amp;IF(TODAY()-$F329=1," day"," days"),IF(TODAY()=$F329,"Follow up today","Due in "&amp;($F329-TODAY())&amp;IF($F329-TODAY()=1," day"," days"))))))</f>
        <v/>
      </c>
      <c r="H329" s="25" t="n"/>
      <c r="I329" s="25" t="n"/>
      <c r="J329" s="25" t="n"/>
      <c r="K329" s="25" t="n"/>
    </row>
    <row r="330" ht="18" customHeight="1">
      <c r="A330" s="25" t="n"/>
      <c r="B330" s="25" t="n"/>
      <c r="C330" s="26" t="n"/>
      <c r="D330" s="25" t="n"/>
      <c r="E330" s="25" t="n"/>
      <c r="F330" s="27">
        <f>IF($C330="","",$C330+7)</f>
        <v/>
      </c>
      <c r="G330" s="28">
        <f>IF($C330="","",IF(AND($E330&lt;&gt;"Applied",$E330&lt;&gt;""),"-",IF($H330="Yes","Followed up",IF(TODAY()&gt;$F330,"Overdue by "&amp;(TODAY()-$F330)&amp;IF(TODAY()-$F330=1," day"," days"),IF(TODAY()=$F330,"Follow up today","Due in "&amp;($F330-TODAY())&amp;IF($F330-TODAY()=1," day"," days"))))))</f>
        <v/>
      </c>
      <c r="H330" s="25" t="n"/>
      <c r="I330" s="25" t="n"/>
      <c r="J330" s="25" t="n"/>
      <c r="K330" s="25" t="n"/>
    </row>
    <row r="331" ht="18" customHeight="1">
      <c r="A331" s="25" t="n"/>
      <c r="B331" s="25" t="n"/>
      <c r="C331" s="26" t="n"/>
      <c r="D331" s="25" t="n"/>
      <c r="E331" s="25" t="n"/>
      <c r="F331" s="27">
        <f>IF($C331="","",$C331+7)</f>
        <v/>
      </c>
      <c r="G331" s="28">
        <f>IF($C331="","",IF(AND($E331&lt;&gt;"Applied",$E331&lt;&gt;""),"-",IF($H331="Yes","Followed up",IF(TODAY()&gt;$F331,"Overdue by "&amp;(TODAY()-$F331)&amp;IF(TODAY()-$F331=1," day"," days"),IF(TODAY()=$F331,"Follow up today","Due in "&amp;($F331-TODAY())&amp;IF($F331-TODAY()=1," day"," days"))))))</f>
        <v/>
      </c>
      <c r="H331" s="25" t="n"/>
      <c r="I331" s="25" t="n"/>
      <c r="J331" s="25" t="n"/>
      <c r="K331" s="25" t="n"/>
    </row>
    <row r="332" ht="18" customHeight="1">
      <c r="A332" s="25" t="n"/>
      <c r="B332" s="25" t="n"/>
      <c r="C332" s="26" t="n"/>
      <c r="D332" s="25" t="n"/>
      <c r="E332" s="25" t="n"/>
      <c r="F332" s="27">
        <f>IF($C332="","",$C332+7)</f>
        <v/>
      </c>
      <c r="G332" s="28">
        <f>IF($C332="","",IF(AND($E332&lt;&gt;"Applied",$E332&lt;&gt;""),"-",IF($H332="Yes","Followed up",IF(TODAY()&gt;$F332,"Overdue by "&amp;(TODAY()-$F332)&amp;IF(TODAY()-$F332=1," day"," days"),IF(TODAY()=$F332,"Follow up today","Due in "&amp;($F332-TODAY())&amp;IF($F332-TODAY()=1," day"," days"))))))</f>
        <v/>
      </c>
      <c r="H332" s="25" t="n"/>
      <c r="I332" s="25" t="n"/>
      <c r="J332" s="25" t="n"/>
      <c r="K332" s="25" t="n"/>
    </row>
    <row r="333" ht="18" customHeight="1">
      <c r="A333" s="25" t="n"/>
      <c r="B333" s="25" t="n"/>
      <c r="C333" s="26" t="n"/>
      <c r="D333" s="25" t="n"/>
      <c r="E333" s="25" t="n"/>
      <c r="F333" s="27">
        <f>IF($C333="","",$C333+7)</f>
        <v/>
      </c>
      <c r="G333" s="28">
        <f>IF($C333="","",IF(AND($E333&lt;&gt;"Applied",$E333&lt;&gt;""),"-",IF($H333="Yes","Followed up",IF(TODAY()&gt;$F333,"Overdue by "&amp;(TODAY()-$F333)&amp;IF(TODAY()-$F333=1," day"," days"),IF(TODAY()=$F333,"Follow up today","Due in "&amp;($F333-TODAY())&amp;IF($F333-TODAY()=1," day"," days"))))))</f>
        <v/>
      </c>
      <c r="H333" s="25" t="n"/>
      <c r="I333" s="25" t="n"/>
      <c r="J333" s="25" t="n"/>
      <c r="K333" s="25" t="n"/>
    </row>
    <row r="334" ht="18" customHeight="1">
      <c r="A334" s="25" t="n"/>
      <c r="B334" s="25" t="n"/>
      <c r="C334" s="26" t="n"/>
      <c r="D334" s="25" t="n"/>
      <c r="E334" s="25" t="n"/>
      <c r="F334" s="27">
        <f>IF($C334="","",$C334+7)</f>
        <v/>
      </c>
      <c r="G334" s="28">
        <f>IF($C334="","",IF(AND($E334&lt;&gt;"Applied",$E334&lt;&gt;""),"-",IF($H334="Yes","Followed up",IF(TODAY()&gt;$F334,"Overdue by "&amp;(TODAY()-$F334)&amp;IF(TODAY()-$F334=1," day"," days"),IF(TODAY()=$F334,"Follow up today","Due in "&amp;($F334-TODAY())&amp;IF($F334-TODAY()=1," day"," days"))))))</f>
        <v/>
      </c>
      <c r="H334" s="25" t="n"/>
      <c r="I334" s="25" t="n"/>
      <c r="J334" s="25" t="n"/>
      <c r="K334" s="25" t="n"/>
    </row>
    <row r="335" ht="18" customHeight="1">
      <c r="A335" s="25" t="n"/>
      <c r="B335" s="25" t="n"/>
      <c r="C335" s="26" t="n"/>
      <c r="D335" s="25" t="n"/>
      <c r="E335" s="25" t="n"/>
      <c r="F335" s="27">
        <f>IF($C335="","",$C335+7)</f>
        <v/>
      </c>
      <c r="G335" s="28">
        <f>IF($C335="","",IF(AND($E335&lt;&gt;"Applied",$E335&lt;&gt;""),"-",IF($H335="Yes","Followed up",IF(TODAY()&gt;$F335,"Overdue by "&amp;(TODAY()-$F335)&amp;IF(TODAY()-$F335=1," day"," days"),IF(TODAY()=$F335,"Follow up today","Due in "&amp;($F335-TODAY())&amp;IF($F335-TODAY()=1," day"," days"))))))</f>
        <v/>
      </c>
      <c r="H335" s="25" t="n"/>
      <c r="I335" s="25" t="n"/>
      <c r="J335" s="25" t="n"/>
      <c r="K335" s="25" t="n"/>
    </row>
    <row r="336" ht="18" customHeight="1">
      <c r="A336" s="25" t="n"/>
      <c r="B336" s="25" t="n"/>
      <c r="C336" s="26" t="n"/>
      <c r="D336" s="25" t="n"/>
      <c r="E336" s="25" t="n"/>
      <c r="F336" s="27">
        <f>IF($C336="","",$C336+7)</f>
        <v/>
      </c>
      <c r="G336" s="28">
        <f>IF($C336="","",IF(AND($E336&lt;&gt;"Applied",$E336&lt;&gt;""),"-",IF($H336="Yes","Followed up",IF(TODAY()&gt;$F336,"Overdue by "&amp;(TODAY()-$F336)&amp;IF(TODAY()-$F336=1," day"," days"),IF(TODAY()=$F336,"Follow up today","Due in "&amp;($F336-TODAY())&amp;IF($F336-TODAY()=1," day"," days"))))))</f>
        <v/>
      </c>
      <c r="H336" s="25" t="n"/>
      <c r="I336" s="25" t="n"/>
      <c r="J336" s="25" t="n"/>
      <c r="K336" s="25" t="n"/>
    </row>
    <row r="337" ht="18" customHeight="1">
      <c r="A337" s="25" t="n"/>
      <c r="B337" s="25" t="n"/>
      <c r="C337" s="26" t="n"/>
      <c r="D337" s="25" t="n"/>
      <c r="E337" s="25" t="n"/>
      <c r="F337" s="27">
        <f>IF($C337="","",$C337+7)</f>
        <v/>
      </c>
      <c r="G337" s="28">
        <f>IF($C337="","",IF(AND($E337&lt;&gt;"Applied",$E337&lt;&gt;""),"-",IF($H337="Yes","Followed up",IF(TODAY()&gt;$F337,"Overdue by "&amp;(TODAY()-$F337)&amp;IF(TODAY()-$F337=1," day"," days"),IF(TODAY()=$F337,"Follow up today","Due in "&amp;($F337-TODAY())&amp;IF($F337-TODAY()=1," day"," days"))))))</f>
        <v/>
      </c>
      <c r="H337" s="25" t="n"/>
      <c r="I337" s="25" t="n"/>
      <c r="J337" s="25" t="n"/>
      <c r="K337" s="25" t="n"/>
    </row>
    <row r="338" ht="18" customHeight="1">
      <c r="A338" s="25" t="n"/>
      <c r="B338" s="25" t="n"/>
      <c r="C338" s="26" t="n"/>
      <c r="D338" s="25" t="n"/>
      <c r="E338" s="25" t="n"/>
      <c r="F338" s="27">
        <f>IF($C338="","",$C338+7)</f>
        <v/>
      </c>
      <c r="G338" s="28">
        <f>IF($C338="","",IF(AND($E338&lt;&gt;"Applied",$E338&lt;&gt;""),"-",IF($H338="Yes","Followed up",IF(TODAY()&gt;$F338,"Overdue by "&amp;(TODAY()-$F338)&amp;IF(TODAY()-$F338=1," day"," days"),IF(TODAY()=$F338,"Follow up today","Due in "&amp;($F338-TODAY())&amp;IF($F338-TODAY()=1," day"," days"))))))</f>
        <v/>
      </c>
      <c r="H338" s="25" t="n"/>
      <c r="I338" s="25" t="n"/>
      <c r="J338" s="25" t="n"/>
      <c r="K338" s="25" t="n"/>
    </row>
    <row r="339" ht="18" customHeight="1">
      <c r="A339" s="25" t="n"/>
      <c r="B339" s="25" t="n"/>
      <c r="C339" s="26" t="n"/>
      <c r="D339" s="25" t="n"/>
      <c r="E339" s="25" t="n"/>
      <c r="F339" s="27">
        <f>IF($C339="","",$C339+7)</f>
        <v/>
      </c>
      <c r="G339" s="28">
        <f>IF($C339="","",IF(AND($E339&lt;&gt;"Applied",$E339&lt;&gt;""),"-",IF($H339="Yes","Followed up",IF(TODAY()&gt;$F339,"Overdue by "&amp;(TODAY()-$F339)&amp;IF(TODAY()-$F339=1," day"," days"),IF(TODAY()=$F339,"Follow up today","Due in "&amp;($F339-TODAY())&amp;IF($F339-TODAY()=1," day"," days"))))))</f>
        <v/>
      </c>
      <c r="H339" s="25" t="n"/>
      <c r="I339" s="25" t="n"/>
      <c r="J339" s="25" t="n"/>
      <c r="K339" s="25" t="n"/>
    </row>
    <row r="340" ht="18" customHeight="1">
      <c r="A340" s="25" t="n"/>
      <c r="B340" s="25" t="n"/>
      <c r="C340" s="26" t="n"/>
      <c r="D340" s="25" t="n"/>
      <c r="E340" s="25" t="n"/>
      <c r="F340" s="27">
        <f>IF($C340="","",$C340+7)</f>
        <v/>
      </c>
      <c r="G340" s="28">
        <f>IF($C340="","",IF(AND($E340&lt;&gt;"Applied",$E340&lt;&gt;""),"-",IF($H340="Yes","Followed up",IF(TODAY()&gt;$F340,"Overdue by "&amp;(TODAY()-$F340)&amp;IF(TODAY()-$F340=1," day"," days"),IF(TODAY()=$F340,"Follow up today","Due in "&amp;($F340-TODAY())&amp;IF($F340-TODAY()=1," day"," days"))))))</f>
        <v/>
      </c>
      <c r="H340" s="25" t="n"/>
      <c r="I340" s="25" t="n"/>
      <c r="J340" s="25" t="n"/>
      <c r="K340" s="25" t="n"/>
    </row>
    <row r="341" ht="18" customHeight="1">
      <c r="A341" s="25" t="n"/>
      <c r="B341" s="25" t="n"/>
      <c r="C341" s="26" t="n"/>
      <c r="D341" s="25" t="n"/>
      <c r="E341" s="25" t="n"/>
      <c r="F341" s="27">
        <f>IF($C341="","",$C341+7)</f>
        <v/>
      </c>
      <c r="G341" s="28">
        <f>IF($C341="","",IF(AND($E341&lt;&gt;"Applied",$E341&lt;&gt;""),"-",IF($H341="Yes","Followed up",IF(TODAY()&gt;$F341,"Overdue by "&amp;(TODAY()-$F341)&amp;IF(TODAY()-$F341=1," day"," days"),IF(TODAY()=$F341,"Follow up today","Due in "&amp;($F341-TODAY())&amp;IF($F341-TODAY()=1," day"," days"))))))</f>
        <v/>
      </c>
      <c r="H341" s="25" t="n"/>
      <c r="I341" s="25" t="n"/>
      <c r="J341" s="25" t="n"/>
      <c r="K341" s="25" t="n"/>
    </row>
    <row r="342" ht="18" customHeight="1">
      <c r="A342" s="25" t="n"/>
      <c r="B342" s="25" t="n"/>
      <c r="C342" s="26" t="n"/>
      <c r="D342" s="25" t="n"/>
      <c r="E342" s="25" t="n"/>
      <c r="F342" s="27">
        <f>IF($C342="","",$C342+7)</f>
        <v/>
      </c>
      <c r="G342" s="28">
        <f>IF($C342="","",IF(AND($E342&lt;&gt;"Applied",$E342&lt;&gt;""),"-",IF($H342="Yes","Followed up",IF(TODAY()&gt;$F342,"Overdue by "&amp;(TODAY()-$F342)&amp;IF(TODAY()-$F342=1," day"," days"),IF(TODAY()=$F342,"Follow up today","Due in "&amp;($F342-TODAY())&amp;IF($F342-TODAY()=1," day"," days"))))))</f>
        <v/>
      </c>
      <c r="H342" s="25" t="n"/>
      <c r="I342" s="25" t="n"/>
      <c r="J342" s="25" t="n"/>
      <c r="K342" s="25" t="n"/>
    </row>
    <row r="343" ht="18" customHeight="1">
      <c r="A343" s="25" t="n"/>
      <c r="B343" s="25" t="n"/>
      <c r="C343" s="26" t="n"/>
      <c r="D343" s="25" t="n"/>
      <c r="E343" s="25" t="n"/>
      <c r="F343" s="27">
        <f>IF($C343="","",$C343+7)</f>
        <v/>
      </c>
      <c r="G343" s="28">
        <f>IF($C343="","",IF(AND($E343&lt;&gt;"Applied",$E343&lt;&gt;""),"-",IF($H343="Yes","Followed up",IF(TODAY()&gt;$F343,"Overdue by "&amp;(TODAY()-$F343)&amp;IF(TODAY()-$F343=1," day"," days"),IF(TODAY()=$F343,"Follow up today","Due in "&amp;($F343-TODAY())&amp;IF($F343-TODAY()=1," day"," days"))))))</f>
        <v/>
      </c>
      <c r="H343" s="25" t="n"/>
      <c r="I343" s="25" t="n"/>
      <c r="J343" s="25" t="n"/>
      <c r="K343" s="25" t="n"/>
    </row>
    <row r="344" ht="18" customHeight="1">
      <c r="A344" s="25" t="n"/>
      <c r="B344" s="25" t="n"/>
      <c r="C344" s="26" t="n"/>
      <c r="D344" s="25" t="n"/>
      <c r="E344" s="25" t="n"/>
      <c r="F344" s="27">
        <f>IF($C344="","",$C344+7)</f>
        <v/>
      </c>
      <c r="G344" s="28">
        <f>IF($C344="","",IF(AND($E344&lt;&gt;"Applied",$E344&lt;&gt;""),"-",IF($H344="Yes","Followed up",IF(TODAY()&gt;$F344,"Overdue by "&amp;(TODAY()-$F344)&amp;IF(TODAY()-$F344=1," day"," days"),IF(TODAY()=$F344,"Follow up today","Due in "&amp;($F344-TODAY())&amp;IF($F344-TODAY()=1," day"," days"))))))</f>
        <v/>
      </c>
      <c r="H344" s="25" t="n"/>
      <c r="I344" s="25" t="n"/>
      <c r="J344" s="25" t="n"/>
      <c r="K344" s="25" t="n"/>
    </row>
    <row r="345" ht="18" customHeight="1">
      <c r="A345" s="25" t="n"/>
      <c r="B345" s="25" t="n"/>
      <c r="C345" s="26" t="n"/>
      <c r="D345" s="25" t="n"/>
      <c r="E345" s="25" t="n"/>
      <c r="F345" s="27">
        <f>IF($C345="","",$C345+7)</f>
        <v/>
      </c>
      <c r="G345" s="28">
        <f>IF($C345="","",IF(AND($E345&lt;&gt;"Applied",$E345&lt;&gt;""),"-",IF($H345="Yes","Followed up",IF(TODAY()&gt;$F345,"Overdue by "&amp;(TODAY()-$F345)&amp;IF(TODAY()-$F345=1," day"," days"),IF(TODAY()=$F345,"Follow up today","Due in "&amp;($F345-TODAY())&amp;IF($F345-TODAY()=1," day"," days"))))))</f>
        <v/>
      </c>
      <c r="H345" s="25" t="n"/>
      <c r="I345" s="25" t="n"/>
      <c r="J345" s="25" t="n"/>
      <c r="K345" s="25" t="n"/>
    </row>
    <row r="346" ht="18" customHeight="1">
      <c r="A346" s="25" t="n"/>
      <c r="B346" s="25" t="n"/>
      <c r="C346" s="26" t="n"/>
      <c r="D346" s="25" t="n"/>
      <c r="E346" s="25" t="n"/>
      <c r="F346" s="27">
        <f>IF($C346="","",$C346+7)</f>
        <v/>
      </c>
      <c r="G346" s="28">
        <f>IF($C346="","",IF(AND($E346&lt;&gt;"Applied",$E346&lt;&gt;""),"-",IF($H346="Yes","Followed up",IF(TODAY()&gt;$F346,"Overdue by "&amp;(TODAY()-$F346)&amp;IF(TODAY()-$F346=1," day"," days"),IF(TODAY()=$F346,"Follow up today","Due in "&amp;($F346-TODAY())&amp;IF($F346-TODAY()=1," day"," days"))))))</f>
        <v/>
      </c>
      <c r="H346" s="25" t="n"/>
      <c r="I346" s="25" t="n"/>
      <c r="J346" s="25" t="n"/>
      <c r="K346" s="25" t="n"/>
    </row>
    <row r="347" ht="18" customHeight="1">
      <c r="A347" s="25" t="n"/>
      <c r="B347" s="25" t="n"/>
      <c r="C347" s="26" t="n"/>
      <c r="D347" s="25" t="n"/>
      <c r="E347" s="25" t="n"/>
      <c r="F347" s="27">
        <f>IF($C347="","",$C347+7)</f>
        <v/>
      </c>
      <c r="G347" s="28">
        <f>IF($C347="","",IF(AND($E347&lt;&gt;"Applied",$E347&lt;&gt;""),"-",IF($H347="Yes","Followed up",IF(TODAY()&gt;$F347,"Overdue by "&amp;(TODAY()-$F347)&amp;IF(TODAY()-$F347=1," day"," days"),IF(TODAY()=$F347,"Follow up today","Due in "&amp;($F347-TODAY())&amp;IF($F347-TODAY()=1," day"," days"))))))</f>
        <v/>
      </c>
      <c r="H347" s="25" t="n"/>
      <c r="I347" s="25" t="n"/>
      <c r="J347" s="25" t="n"/>
      <c r="K347" s="25" t="n"/>
    </row>
    <row r="348" ht="18" customHeight="1">
      <c r="A348" s="25" t="n"/>
      <c r="B348" s="25" t="n"/>
      <c r="C348" s="26" t="n"/>
      <c r="D348" s="25" t="n"/>
      <c r="E348" s="25" t="n"/>
      <c r="F348" s="27">
        <f>IF($C348="","",$C348+7)</f>
        <v/>
      </c>
      <c r="G348" s="28">
        <f>IF($C348="","",IF(AND($E348&lt;&gt;"Applied",$E348&lt;&gt;""),"-",IF($H348="Yes","Followed up",IF(TODAY()&gt;$F348,"Overdue by "&amp;(TODAY()-$F348)&amp;IF(TODAY()-$F348=1," day"," days"),IF(TODAY()=$F348,"Follow up today","Due in "&amp;($F348-TODAY())&amp;IF($F348-TODAY()=1," day"," days"))))))</f>
        <v/>
      </c>
      <c r="H348" s="25" t="n"/>
      <c r="I348" s="25" t="n"/>
      <c r="J348" s="25" t="n"/>
      <c r="K348" s="25" t="n"/>
    </row>
    <row r="349" ht="18" customHeight="1">
      <c r="A349" s="25" t="n"/>
      <c r="B349" s="25" t="n"/>
      <c r="C349" s="26" t="n"/>
      <c r="D349" s="25" t="n"/>
      <c r="E349" s="25" t="n"/>
      <c r="F349" s="27">
        <f>IF($C349="","",$C349+7)</f>
        <v/>
      </c>
      <c r="G349" s="28">
        <f>IF($C349="","",IF(AND($E349&lt;&gt;"Applied",$E349&lt;&gt;""),"-",IF($H349="Yes","Followed up",IF(TODAY()&gt;$F349,"Overdue by "&amp;(TODAY()-$F349)&amp;IF(TODAY()-$F349=1," day"," days"),IF(TODAY()=$F349,"Follow up today","Due in "&amp;($F349-TODAY())&amp;IF($F349-TODAY()=1," day"," days"))))))</f>
        <v/>
      </c>
      <c r="H349" s="25" t="n"/>
      <c r="I349" s="25" t="n"/>
      <c r="J349" s="25" t="n"/>
      <c r="K349" s="25" t="n"/>
    </row>
    <row r="350" ht="18" customHeight="1">
      <c r="A350" s="25" t="n"/>
      <c r="B350" s="25" t="n"/>
      <c r="C350" s="26" t="n"/>
      <c r="D350" s="25" t="n"/>
      <c r="E350" s="25" t="n"/>
      <c r="F350" s="27">
        <f>IF($C350="","",$C350+7)</f>
        <v/>
      </c>
      <c r="G350" s="28">
        <f>IF($C350="","",IF(AND($E350&lt;&gt;"Applied",$E350&lt;&gt;""),"-",IF($H350="Yes","Followed up",IF(TODAY()&gt;$F350,"Overdue by "&amp;(TODAY()-$F350)&amp;IF(TODAY()-$F350=1," day"," days"),IF(TODAY()=$F350,"Follow up today","Due in "&amp;($F350-TODAY())&amp;IF($F350-TODAY()=1," day"," days"))))))</f>
        <v/>
      </c>
      <c r="H350" s="25" t="n"/>
      <c r="I350" s="25" t="n"/>
      <c r="J350" s="25" t="n"/>
      <c r="K350" s="25" t="n"/>
    </row>
    <row r="351" ht="18" customHeight="1">
      <c r="A351" s="25" t="n"/>
      <c r="B351" s="25" t="n"/>
      <c r="C351" s="26" t="n"/>
      <c r="D351" s="25" t="n"/>
      <c r="E351" s="25" t="n"/>
      <c r="F351" s="27">
        <f>IF($C351="","",$C351+7)</f>
        <v/>
      </c>
      <c r="G351" s="28">
        <f>IF($C351="","",IF(AND($E351&lt;&gt;"Applied",$E351&lt;&gt;""),"-",IF($H351="Yes","Followed up",IF(TODAY()&gt;$F351,"Overdue by "&amp;(TODAY()-$F351)&amp;IF(TODAY()-$F351=1," day"," days"),IF(TODAY()=$F351,"Follow up today","Due in "&amp;($F351-TODAY())&amp;IF($F351-TODAY()=1," day"," days"))))))</f>
        <v/>
      </c>
      <c r="H351" s="25" t="n"/>
      <c r="I351" s="25" t="n"/>
      <c r="J351" s="25" t="n"/>
      <c r="K351" s="25" t="n"/>
    </row>
    <row r="352" ht="18" customHeight="1">
      <c r="A352" s="25" t="n"/>
      <c r="B352" s="25" t="n"/>
      <c r="C352" s="26" t="n"/>
      <c r="D352" s="25" t="n"/>
      <c r="E352" s="25" t="n"/>
      <c r="F352" s="27">
        <f>IF($C352="","",$C352+7)</f>
        <v/>
      </c>
      <c r="G352" s="28">
        <f>IF($C352="","",IF(AND($E352&lt;&gt;"Applied",$E352&lt;&gt;""),"-",IF($H352="Yes","Followed up",IF(TODAY()&gt;$F352,"Overdue by "&amp;(TODAY()-$F352)&amp;IF(TODAY()-$F352=1," day"," days"),IF(TODAY()=$F352,"Follow up today","Due in "&amp;($F352-TODAY())&amp;IF($F352-TODAY()=1," day"," days"))))))</f>
        <v/>
      </c>
      <c r="H352" s="25" t="n"/>
      <c r="I352" s="25" t="n"/>
      <c r="J352" s="25" t="n"/>
      <c r="K352" s="25" t="n"/>
    </row>
    <row r="353" ht="18" customHeight="1">
      <c r="A353" s="25" t="n"/>
      <c r="B353" s="25" t="n"/>
      <c r="C353" s="26" t="n"/>
      <c r="D353" s="25" t="n"/>
      <c r="E353" s="25" t="n"/>
      <c r="F353" s="27">
        <f>IF($C353="","",$C353+7)</f>
        <v/>
      </c>
      <c r="G353" s="28">
        <f>IF($C353="","",IF(AND($E353&lt;&gt;"Applied",$E353&lt;&gt;""),"-",IF($H353="Yes","Followed up",IF(TODAY()&gt;$F353,"Overdue by "&amp;(TODAY()-$F353)&amp;IF(TODAY()-$F353=1," day"," days"),IF(TODAY()=$F353,"Follow up today","Due in "&amp;($F353-TODAY())&amp;IF($F353-TODAY()=1," day"," days"))))))</f>
        <v/>
      </c>
      <c r="H353" s="25" t="n"/>
      <c r="I353" s="25" t="n"/>
      <c r="J353" s="25" t="n"/>
      <c r="K353" s="25" t="n"/>
    </row>
    <row r="354" ht="18" customHeight="1">
      <c r="A354" s="25" t="n"/>
      <c r="B354" s="25" t="n"/>
      <c r="C354" s="26" t="n"/>
      <c r="D354" s="25" t="n"/>
      <c r="E354" s="25" t="n"/>
      <c r="F354" s="27">
        <f>IF($C354="","",$C354+7)</f>
        <v/>
      </c>
      <c r="G354" s="28">
        <f>IF($C354="","",IF(AND($E354&lt;&gt;"Applied",$E354&lt;&gt;""),"-",IF($H354="Yes","Followed up",IF(TODAY()&gt;$F354,"Overdue by "&amp;(TODAY()-$F354)&amp;IF(TODAY()-$F354=1," day"," days"),IF(TODAY()=$F354,"Follow up today","Due in "&amp;($F354-TODAY())&amp;IF($F354-TODAY()=1," day"," days"))))))</f>
        <v/>
      </c>
      <c r="H354" s="25" t="n"/>
      <c r="I354" s="25" t="n"/>
      <c r="J354" s="25" t="n"/>
      <c r="K354" s="25" t="n"/>
    </row>
    <row r="355" ht="18" customHeight="1">
      <c r="A355" s="25" t="n"/>
      <c r="B355" s="25" t="n"/>
      <c r="C355" s="26" t="n"/>
      <c r="D355" s="25" t="n"/>
      <c r="E355" s="25" t="n"/>
      <c r="F355" s="27">
        <f>IF($C355="","",$C355+7)</f>
        <v/>
      </c>
      <c r="G355" s="28">
        <f>IF($C355="","",IF(AND($E355&lt;&gt;"Applied",$E355&lt;&gt;""),"-",IF($H355="Yes","Followed up",IF(TODAY()&gt;$F355,"Overdue by "&amp;(TODAY()-$F355)&amp;IF(TODAY()-$F355=1," day"," days"),IF(TODAY()=$F355,"Follow up today","Due in "&amp;($F355-TODAY())&amp;IF($F355-TODAY()=1," day"," days"))))))</f>
        <v/>
      </c>
      <c r="H355" s="25" t="n"/>
      <c r="I355" s="25" t="n"/>
      <c r="J355" s="25" t="n"/>
      <c r="K355" s="25" t="n"/>
    </row>
    <row r="356" ht="18" customHeight="1">
      <c r="A356" s="25" t="n"/>
      <c r="B356" s="25" t="n"/>
      <c r="C356" s="26" t="n"/>
      <c r="D356" s="25" t="n"/>
      <c r="E356" s="25" t="n"/>
      <c r="F356" s="27">
        <f>IF($C356="","",$C356+7)</f>
        <v/>
      </c>
      <c r="G356" s="28">
        <f>IF($C356="","",IF(AND($E356&lt;&gt;"Applied",$E356&lt;&gt;""),"-",IF($H356="Yes","Followed up",IF(TODAY()&gt;$F356,"Overdue by "&amp;(TODAY()-$F356)&amp;IF(TODAY()-$F356=1," day"," days"),IF(TODAY()=$F356,"Follow up today","Due in "&amp;($F356-TODAY())&amp;IF($F356-TODAY()=1," day"," days"))))))</f>
        <v/>
      </c>
      <c r="H356" s="25" t="n"/>
      <c r="I356" s="25" t="n"/>
      <c r="J356" s="25" t="n"/>
      <c r="K356" s="25" t="n"/>
    </row>
    <row r="357" ht="18" customHeight="1">
      <c r="A357" s="25" t="n"/>
      <c r="B357" s="25" t="n"/>
      <c r="C357" s="26" t="n"/>
      <c r="D357" s="25" t="n"/>
      <c r="E357" s="25" t="n"/>
      <c r="F357" s="27">
        <f>IF($C357="","",$C357+7)</f>
        <v/>
      </c>
      <c r="G357" s="28">
        <f>IF($C357="","",IF(AND($E357&lt;&gt;"Applied",$E357&lt;&gt;""),"-",IF($H357="Yes","Followed up",IF(TODAY()&gt;$F357,"Overdue by "&amp;(TODAY()-$F357)&amp;IF(TODAY()-$F357=1," day"," days"),IF(TODAY()=$F357,"Follow up today","Due in "&amp;($F357-TODAY())&amp;IF($F357-TODAY()=1," day"," days"))))))</f>
        <v/>
      </c>
      <c r="H357" s="25" t="n"/>
      <c r="I357" s="25" t="n"/>
      <c r="J357" s="25" t="n"/>
      <c r="K357" s="25" t="n"/>
    </row>
    <row r="358" ht="18" customHeight="1">
      <c r="A358" s="25" t="n"/>
      <c r="B358" s="25" t="n"/>
      <c r="C358" s="26" t="n"/>
      <c r="D358" s="25" t="n"/>
      <c r="E358" s="25" t="n"/>
      <c r="F358" s="27">
        <f>IF($C358="","",$C358+7)</f>
        <v/>
      </c>
      <c r="G358" s="28">
        <f>IF($C358="","",IF(AND($E358&lt;&gt;"Applied",$E358&lt;&gt;""),"-",IF($H358="Yes","Followed up",IF(TODAY()&gt;$F358,"Overdue by "&amp;(TODAY()-$F358)&amp;IF(TODAY()-$F358=1," day"," days"),IF(TODAY()=$F358,"Follow up today","Due in "&amp;($F358-TODAY())&amp;IF($F358-TODAY()=1," day"," days"))))))</f>
        <v/>
      </c>
      <c r="H358" s="25" t="n"/>
      <c r="I358" s="25" t="n"/>
      <c r="J358" s="25" t="n"/>
      <c r="K358" s="25" t="n"/>
    </row>
    <row r="359" ht="18" customHeight="1">
      <c r="A359" s="25" t="n"/>
      <c r="B359" s="25" t="n"/>
      <c r="C359" s="26" t="n"/>
      <c r="D359" s="25" t="n"/>
      <c r="E359" s="25" t="n"/>
      <c r="F359" s="27">
        <f>IF($C359="","",$C359+7)</f>
        <v/>
      </c>
      <c r="G359" s="28">
        <f>IF($C359="","",IF(AND($E359&lt;&gt;"Applied",$E359&lt;&gt;""),"-",IF($H359="Yes","Followed up",IF(TODAY()&gt;$F359,"Overdue by "&amp;(TODAY()-$F359)&amp;IF(TODAY()-$F359=1," day"," days"),IF(TODAY()=$F359,"Follow up today","Due in "&amp;($F359-TODAY())&amp;IF($F359-TODAY()=1," day"," days"))))))</f>
        <v/>
      </c>
      <c r="H359" s="25" t="n"/>
      <c r="I359" s="25" t="n"/>
      <c r="J359" s="25" t="n"/>
      <c r="K359" s="25" t="n"/>
    </row>
    <row r="360" ht="18" customHeight="1">
      <c r="A360" s="25" t="n"/>
      <c r="B360" s="25" t="n"/>
      <c r="C360" s="26" t="n"/>
      <c r="D360" s="25" t="n"/>
      <c r="E360" s="25" t="n"/>
      <c r="F360" s="27">
        <f>IF($C360="","",$C360+7)</f>
        <v/>
      </c>
      <c r="G360" s="28">
        <f>IF($C360="","",IF(AND($E360&lt;&gt;"Applied",$E360&lt;&gt;""),"-",IF($H360="Yes","Followed up",IF(TODAY()&gt;$F360,"Overdue by "&amp;(TODAY()-$F360)&amp;IF(TODAY()-$F360=1," day"," days"),IF(TODAY()=$F360,"Follow up today","Due in "&amp;($F360-TODAY())&amp;IF($F360-TODAY()=1," day"," days"))))))</f>
        <v/>
      </c>
      <c r="H360" s="25" t="n"/>
      <c r="I360" s="25" t="n"/>
      <c r="J360" s="25" t="n"/>
      <c r="K360" s="25" t="n"/>
    </row>
    <row r="361" ht="18" customHeight="1">
      <c r="A361" s="25" t="n"/>
      <c r="B361" s="25" t="n"/>
      <c r="C361" s="26" t="n"/>
      <c r="D361" s="25" t="n"/>
      <c r="E361" s="25" t="n"/>
      <c r="F361" s="27">
        <f>IF($C361="","",$C361+7)</f>
        <v/>
      </c>
      <c r="G361" s="28">
        <f>IF($C361="","",IF(AND($E361&lt;&gt;"Applied",$E361&lt;&gt;""),"-",IF($H361="Yes","Followed up",IF(TODAY()&gt;$F361,"Overdue by "&amp;(TODAY()-$F361)&amp;IF(TODAY()-$F361=1," day"," days"),IF(TODAY()=$F361,"Follow up today","Due in "&amp;($F361-TODAY())&amp;IF($F361-TODAY()=1," day"," days"))))))</f>
        <v/>
      </c>
      <c r="H361" s="25" t="n"/>
      <c r="I361" s="25" t="n"/>
      <c r="J361" s="25" t="n"/>
      <c r="K361" s="25" t="n"/>
    </row>
    <row r="362" ht="18" customHeight="1">
      <c r="A362" s="25" t="n"/>
      <c r="B362" s="25" t="n"/>
      <c r="C362" s="26" t="n"/>
      <c r="D362" s="25" t="n"/>
      <c r="E362" s="25" t="n"/>
      <c r="F362" s="27">
        <f>IF($C362="","",$C362+7)</f>
        <v/>
      </c>
      <c r="G362" s="28">
        <f>IF($C362="","",IF(AND($E362&lt;&gt;"Applied",$E362&lt;&gt;""),"-",IF($H362="Yes","Followed up",IF(TODAY()&gt;$F362,"Overdue by "&amp;(TODAY()-$F362)&amp;IF(TODAY()-$F362=1," day"," days"),IF(TODAY()=$F362,"Follow up today","Due in "&amp;($F362-TODAY())&amp;IF($F362-TODAY()=1," day"," days"))))))</f>
        <v/>
      </c>
      <c r="H362" s="25" t="n"/>
      <c r="I362" s="25" t="n"/>
      <c r="J362" s="25" t="n"/>
      <c r="K362" s="25" t="n"/>
    </row>
    <row r="363" ht="18" customHeight="1">
      <c r="A363" s="25" t="n"/>
      <c r="B363" s="25" t="n"/>
      <c r="C363" s="26" t="n"/>
      <c r="D363" s="25" t="n"/>
      <c r="E363" s="25" t="n"/>
      <c r="F363" s="27">
        <f>IF($C363="","",$C363+7)</f>
        <v/>
      </c>
      <c r="G363" s="28">
        <f>IF($C363="","",IF(AND($E363&lt;&gt;"Applied",$E363&lt;&gt;""),"-",IF($H363="Yes","Followed up",IF(TODAY()&gt;$F363,"Overdue by "&amp;(TODAY()-$F363)&amp;IF(TODAY()-$F363=1," day"," days"),IF(TODAY()=$F363,"Follow up today","Due in "&amp;($F363-TODAY())&amp;IF($F363-TODAY()=1," day"," days"))))))</f>
        <v/>
      </c>
      <c r="H363" s="25" t="n"/>
      <c r="I363" s="25" t="n"/>
      <c r="J363" s="25" t="n"/>
      <c r="K363" s="25" t="n"/>
    </row>
    <row r="364" ht="18" customHeight="1">
      <c r="A364" s="25" t="n"/>
      <c r="B364" s="25" t="n"/>
      <c r="C364" s="26" t="n"/>
      <c r="D364" s="25" t="n"/>
      <c r="E364" s="25" t="n"/>
      <c r="F364" s="27">
        <f>IF($C364="","",$C364+7)</f>
        <v/>
      </c>
      <c r="G364" s="28">
        <f>IF($C364="","",IF(AND($E364&lt;&gt;"Applied",$E364&lt;&gt;""),"-",IF($H364="Yes","Followed up",IF(TODAY()&gt;$F364,"Overdue by "&amp;(TODAY()-$F364)&amp;IF(TODAY()-$F364=1," day"," days"),IF(TODAY()=$F364,"Follow up today","Due in "&amp;($F364-TODAY())&amp;IF($F364-TODAY()=1," day"," days"))))))</f>
        <v/>
      </c>
      <c r="H364" s="25" t="n"/>
      <c r="I364" s="25" t="n"/>
      <c r="J364" s="25" t="n"/>
      <c r="K364" s="25" t="n"/>
    </row>
    <row r="365" ht="18" customHeight="1">
      <c r="A365" s="25" t="n"/>
      <c r="B365" s="25" t="n"/>
      <c r="C365" s="26" t="n"/>
      <c r="D365" s="25" t="n"/>
      <c r="E365" s="25" t="n"/>
      <c r="F365" s="27">
        <f>IF($C365="","",$C365+7)</f>
        <v/>
      </c>
      <c r="G365" s="28">
        <f>IF($C365="","",IF(AND($E365&lt;&gt;"Applied",$E365&lt;&gt;""),"-",IF($H365="Yes","Followed up",IF(TODAY()&gt;$F365,"Overdue by "&amp;(TODAY()-$F365)&amp;IF(TODAY()-$F365=1," day"," days"),IF(TODAY()=$F365,"Follow up today","Due in "&amp;($F365-TODAY())&amp;IF($F365-TODAY()=1," day"," days"))))))</f>
        <v/>
      </c>
      <c r="H365" s="25" t="n"/>
      <c r="I365" s="25" t="n"/>
      <c r="J365" s="25" t="n"/>
      <c r="K365" s="25" t="n"/>
    </row>
    <row r="366" ht="18" customHeight="1">
      <c r="A366" s="25" t="n"/>
      <c r="B366" s="25" t="n"/>
      <c r="C366" s="26" t="n"/>
      <c r="D366" s="25" t="n"/>
      <c r="E366" s="25" t="n"/>
      <c r="F366" s="27">
        <f>IF($C366="","",$C366+7)</f>
        <v/>
      </c>
      <c r="G366" s="28">
        <f>IF($C366="","",IF(AND($E366&lt;&gt;"Applied",$E366&lt;&gt;""),"-",IF($H366="Yes","Followed up",IF(TODAY()&gt;$F366,"Overdue by "&amp;(TODAY()-$F366)&amp;IF(TODAY()-$F366=1," day"," days"),IF(TODAY()=$F366,"Follow up today","Due in "&amp;($F366-TODAY())&amp;IF($F366-TODAY()=1," day"," days"))))))</f>
        <v/>
      </c>
      <c r="H366" s="25" t="n"/>
      <c r="I366" s="25" t="n"/>
      <c r="J366" s="25" t="n"/>
      <c r="K366" s="25" t="n"/>
    </row>
    <row r="367" ht="18" customHeight="1">
      <c r="A367" s="25" t="n"/>
      <c r="B367" s="25" t="n"/>
      <c r="C367" s="26" t="n"/>
      <c r="D367" s="25" t="n"/>
      <c r="E367" s="25" t="n"/>
      <c r="F367" s="27">
        <f>IF($C367="","",$C367+7)</f>
        <v/>
      </c>
      <c r="G367" s="28">
        <f>IF($C367="","",IF(AND($E367&lt;&gt;"Applied",$E367&lt;&gt;""),"-",IF($H367="Yes","Followed up",IF(TODAY()&gt;$F367,"Overdue by "&amp;(TODAY()-$F367)&amp;IF(TODAY()-$F367=1," day"," days"),IF(TODAY()=$F367,"Follow up today","Due in "&amp;($F367-TODAY())&amp;IF($F367-TODAY()=1," day"," days"))))))</f>
        <v/>
      </c>
      <c r="H367" s="25" t="n"/>
      <c r="I367" s="25" t="n"/>
      <c r="J367" s="25" t="n"/>
      <c r="K367" s="25" t="n"/>
    </row>
    <row r="368" ht="18" customHeight="1">
      <c r="A368" s="25" t="n"/>
      <c r="B368" s="25" t="n"/>
      <c r="C368" s="26" t="n"/>
      <c r="D368" s="25" t="n"/>
      <c r="E368" s="25" t="n"/>
      <c r="F368" s="27">
        <f>IF($C368="","",$C368+7)</f>
        <v/>
      </c>
      <c r="G368" s="28">
        <f>IF($C368="","",IF(AND($E368&lt;&gt;"Applied",$E368&lt;&gt;""),"-",IF($H368="Yes","Followed up",IF(TODAY()&gt;$F368,"Overdue by "&amp;(TODAY()-$F368)&amp;IF(TODAY()-$F368=1," day"," days"),IF(TODAY()=$F368,"Follow up today","Due in "&amp;($F368-TODAY())&amp;IF($F368-TODAY()=1," day"," days"))))))</f>
        <v/>
      </c>
      <c r="H368" s="25" t="n"/>
      <c r="I368" s="25" t="n"/>
      <c r="J368" s="25" t="n"/>
      <c r="K368" s="25" t="n"/>
    </row>
    <row r="369" ht="18" customHeight="1">
      <c r="A369" s="25" t="n"/>
      <c r="B369" s="25" t="n"/>
      <c r="C369" s="26" t="n"/>
      <c r="D369" s="25" t="n"/>
      <c r="E369" s="25" t="n"/>
      <c r="F369" s="27">
        <f>IF($C369="","",$C369+7)</f>
        <v/>
      </c>
      <c r="G369" s="28">
        <f>IF($C369="","",IF(AND($E369&lt;&gt;"Applied",$E369&lt;&gt;""),"-",IF($H369="Yes","Followed up",IF(TODAY()&gt;$F369,"Overdue by "&amp;(TODAY()-$F369)&amp;IF(TODAY()-$F369=1," day"," days"),IF(TODAY()=$F369,"Follow up today","Due in "&amp;($F369-TODAY())&amp;IF($F369-TODAY()=1," day"," days"))))))</f>
        <v/>
      </c>
      <c r="H369" s="25" t="n"/>
      <c r="I369" s="25" t="n"/>
      <c r="J369" s="25" t="n"/>
      <c r="K369" s="25" t="n"/>
    </row>
    <row r="370" ht="18" customHeight="1">
      <c r="A370" s="25" t="n"/>
      <c r="B370" s="25" t="n"/>
      <c r="C370" s="26" t="n"/>
      <c r="D370" s="25" t="n"/>
      <c r="E370" s="25" t="n"/>
      <c r="F370" s="27">
        <f>IF($C370="","",$C370+7)</f>
        <v/>
      </c>
      <c r="G370" s="28">
        <f>IF($C370="","",IF(AND($E370&lt;&gt;"Applied",$E370&lt;&gt;""),"-",IF($H370="Yes","Followed up",IF(TODAY()&gt;$F370,"Overdue by "&amp;(TODAY()-$F370)&amp;IF(TODAY()-$F370=1," day"," days"),IF(TODAY()=$F370,"Follow up today","Due in "&amp;($F370-TODAY())&amp;IF($F370-TODAY()=1," day"," days"))))))</f>
        <v/>
      </c>
      <c r="H370" s="25" t="n"/>
      <c r="I370" s="25" t="n"/>
      <c r="J370" s="25" t="n"/>
      <c r="K370" s="25" t="n"/>
    </row>
    <row r="371" ht="18" customHeight="1">
      <c r="A371" s="25" t="n"/>
      <c r="B371" s="25" t="n"/>
      <c r="C371" s="26" t="n"/>
      <c r="D371" s="25" t="n"/>
      <c r="E371" s="25" t="n"/>
      <c r="F371" s="27">
        <f>IF($C371="","",$C371+7)</f>
        <v/>
      </c>
      <c r="G371" s="28">
        <f>IF($C371="","",IF(AND($E371&lt;&gt;"Applied",$E371&lt;&gt;""),"-",IF($H371="Yes","Followed up",IF(TODAY()&gt;$F371,"Overdue by "&amp;(TODAY()-$F371)&amp;IF(TODAY()-$F371=1," day"," days"),IF(TODAY()=$F371,"Follow up today","Due in "&amp;($F371-TODAY())&amp;IF($F371-TODAY()=1," day"," days"))))))</f>
        <v/>
      </c>
      <c r="H371" s="25" t="n"/>
      <c r="I371" s="25" t="n"/>
      <c r="J371" s="25" t="n"/>
      <c r="K371" s="25" t="n"/>
    </row>
    <row r="372" ht="18" customHeight="1">
      <c r="A372" s="25" t="n"/>
      <c r="B372" s="25" t="n"/>
      <c r="C372" s="26" t="n"/>
      <c r="D372" s="25" t="n"/>
      <c r="E372" s="25" t="n"/>
      <c r="F372" s="27">
        <f>IF($C372="","",$C372+7)</f>
        <v/>
      </c>
      <c r="G372" s="28">
        <f>IF($C372="","",IF(AND($E372&lt;&gt;"Applied",$E372&lt;&gt;""),"-",IF($H372="Yes","Followed up",IF(TODAY()&gt;$F372,"Overdue by "&amp;(TODAY()-$F372)&amp;IF(TODAY()-$F372=1," day"," days"),IF(TODAY()=$F372,"Follow up today","Due in "&amp;($F372-TODAY())&amp;IF($F372-TODAY()=1," day"," days"))))))</f>
        <v/>
      </c>
      <c r="H372" s="25" t="n"/>
      <c r="I372" s="25" t="n"/>
      <c r="J372" s="25" t="n"/>
      <c r="K372" s="25" t="n"/>
    </row>
    <row r="373" ht="18" customHeight="1">
      <c r="A373" s="25" t="n"/>
      <c r="B373" s="25" t="n"/>
      <c r="C373" s="26" t="n"/>
      <c r="D373" s="25" t="n"/>
      <c r="E373" s="25" t="n"/>
      <c r="F373" s="27">
        <f>IF($C373="","",$C373+7)</f>
        <v/>
      </c>
      <c r="G373" s="28">
        <f>IF($C373="","",IF(AND($E373&lt;&gt;"Applied",$E373&lt;&gt;""),"-",IF($H373="Yes","Followed up",IF(TODAY()&gt;$F373,"Overdue by "&amp;(TODAY()-$F373)&amp;IF(TODAY()-$F373=1," day"," days"),IF(TODAY()=$F373,"Follow up today","Due in "&amp;($F373-TODAY())&amp;IF($F373-TODAY()=1," day"," days"))))))</f>
        <v/>
      </c>
      <c r="H373" s="25" t="n"/>
      <c r="I373" s="25" t="n"/>
      <c r="J373" s="25" t="n"/>
      <c r="K373" s="25" t="n"/>
    </row>
    <row r="374" ht="18" customHeight="1">
      <c r="A374" s="25" t="n"/>
      <c r="B374" s="25" t="n"/>
      <c r="C374" s="26" t="n"/>
      <c r="D374" s="25" t="n"/>
      <c r="E374" s="25" t="n"/>
      <c r="F374" s="27">
        <f>IF($C374="","",$C374+7)</f>
        <v/>
      </c>
      <c r="G374" s="28">
        <f>IF($C374="","",IF(AND($E374&lt;&gt;"Applied",$E374&lt;&gt;""),"-",IF($H374="Yes","Followed up",IF(TODAY()&gt;$F374,"Overdue by "&amp;(TODAY()-$F374)&amp;IF(TODAY()-$F374=1," day"," days"),IF(TODAY()=$F374,"Follow up today","Due in "&amp;($F374-TODAY())&amp;IF($F374-TODAY()=1," day"," days"))))))</f>
        <v/>
      </c>
      <c r="H374" s="25" t="n"/>
      <c r="I374" s="25" t="n"/>
      <c r="J374" s="25" t="n"/>
      <c r="K374" s="25" t="n"/>
    </row>
    <row r="375" ht="18" customHeight="1">
      <c r="A375" s="25" t="n"/>
      <c r="B375" s="25" t="n"/>
      <c r="C375" s="26" t="n"/>
      <c r="D375" s="25" t="n"/>
      <c r="E375" s="25" t="n"/>
      <c r="F375" s="27">
        <f>IF($C375="","",$C375+7)</f>
        <v/>
      </c>
      <c r="G375" s="28">
        <f>IF($C375="","",IF(AND($E375&lt;&gt;"Applied",$E375&lt;&gt;""),"-",IF($H375="Yes","Followed up",IF(TODAY()&gt;$F375,"Overdue by "&amp;(TODAY()-$F375)&amp;IF(TODAY()-$F375=1," day"," days"),IF(TODAY()=$F375,"Follow up today","Due in "&amp;($F375-TODAY())&amp;IF($F375-TODAY()=1," day"," days"))))))</f>
        <v/>
      </c>
      <c r="H375" s="25" t="n"/>
      <c r="I375" s="25" t="n"/>
      <c r="J375" s="25" t="n"/>
      <c r="K375" s="25" t="n"/>
    </row>
    <row r="376" ht="18" customHeight="1">
      <c r="A376" s="25" t="n"/>
      <c r="B376" s="25" t="n"/>
      <c r="C376" s="26" t="n"/>
      <c r="D376" s="25" t="n"/>
      <c r="E376" s="25" t="n"/>
      <c r="F376" s="27">
        <f>IF($C376="","",$C376+7)</f>
        <v/>
      </c>
      <c r="G376" s="28">
        <f>IF($C376="","",IF(AND($E376&lt;&gt;"Applied",$E376&lt;&gt;""),"-",IF($H376="Yes","Followed up",IF(TODAY()&gt;$F376,"Overdue by "&amp;(TODAY()-$F376)&amp;IF(TODAY()-$F376=1," day"," days"),IF(TODAY()=$F376,"Follow up today","Due in "&amp;($F376-TODAY())&amp;IF($F376-TODAY()=1," day"," days"))))))</f>
        <v/>
      </c>
      <c r="H376" s="25" t="n"/>
      <c r="I376" s="25" t="n"/>
      <c r="J376" s="25" t="n"/>
      <c r="K376" s="25" t="n"/>
    </row>
    <row r="377" ht="18" customHeight="1">
      <c r="A377" s="25" t="n"/>
      <c r="B377" s="25" t="n"/>
      <c r="C377" s="26" t="n"/>
      <c r="D377" s="25" t="n"/>
      <c r="E377" s="25" t="n"/>
      <c r="F377" s="27">
        <f>IF($C377="","",$C377+7)</f>
        <v/>
      </c>
      <c r="G377" s="28">
        <f>IF($C377="","",IF(AND($E377&lt;&gt;"Applied",$E377&lt;&gt;""),"-",IF($H377="Yes","Followed up",IF(TODAY()&gt;$F377,"Overdue by "&amp;(TODAY()-$F377)&amp;IF(TODAY()-$F377=1," day"," days"),IF(TODAY()=$F377,"Follow up today","Due in "&amp;($F377-TODAY())&amp;IF($F377-TODAY()=1," day"," days"))))))</f>
        <v/>
      </c>
      <c r="H377" s="25" t="n"/>
      <c r="I377" s="25" t="n"/>
      <c r="J377" s="25" t="n"/>
      <c r="K377" s="25" t="n"/>
    </row>
    <row r="378" ht="18" customHeight="1">
      <c r="A378" s="25" t="n"/>
      <c r="B378" s="25" t="n"/>
      <c r="C378" s="26" t="n"/>
      <c r="D378" s="25" t="n"/>
      <c r="E378" s="25" t="n"/>
      <c r="F378" s="27">
        <f>IF($C378="","",$C378+7)</f>
        <v/>
      </c>
      <c r="G378" s="28">
        <f>IF($C378="","",IF(AND($E378&lt;&gt;"Applied",$E378&lt;&gt;""),"-",IF($H378="Yes","Followed up",IF(TODAY()&gt;$F378,"Overdue by "&amp;(TODAY()-$F378)&amp;IF(TODAY()-$F378=1," day"," days"),IF(TODAY()=$F378,"Follow up today","Due in "&amp;($F378-TODAY())&amp;IF($F378-TODAY()=1," day"," days"))))))</f>
        <v/>
      </c>
      <c r="H378" s="25" t="n"/>
      <c r="I378" s="25" t="n"/>
      <c r="J378" s="25" t="n"/>
      <c r="K378" s="25" t="n"/>
    </row>
    <row r="379" ht="18" customHeight="1">
      <c r="A379" s="25" t="n"/>
      <c r="B379" s="25" t="n"/>
      <c r="C379" s="26" t="n"/>
      <c r="D379" s="25" t="n"/>
      <c r="E379" s="25" t="n"/>
      <c r="F379" s="27">
        <f>IF($C379="","",$C379+7)</f>
        <v/>
      </c>
      <c r="G379" s="28">
        <f>IF($C379="","",IF(AND($E379&lt;&gt;"Applied",$E379&lt;&gt;""),"-",IF($H379="Yes","Followed up",IF(TODAY()&gt;$F379,"Overdue by "&amp;(TODAY()-$F379)&amp;IF(TODAY()-$F379=1," day"," days"),IF(TODAY()=$F379,"Follow up today","Due in "&amp;($F379-TODAY())&amp;IF($F379-TODAY()=1," day"," days"))))))</f>
        <v/>
      </c>
      <c r="H379" s="25" t="n"/>
      <c r="I379" s="25" t="n"/>
      <c r="J379" s="25" t="n"/>
      <c r="K379" s="25" t="n"/>
    </row>
    <row r="380" ht="18" customHeight="1">
      <c r="A380" s="25" t="n"/>
      <c r="B380" s="25" t="n"/>
      <c r="C380" s="26" t="n"/>
      <c r="D380" s="25" t="n"/>
      <c r="E380" s="25" t="n"/>
      <c r="F380" s="27">
        <f>IF($C380="","",$C380+7)</f>
        <v/>
      </c>
      <c r="G380" s="28">
        <f>IF($C380="","",IF(AND($E380&lt;&gt;"Applied",$E380&lt;&gt;""),"-",IF($H380="Yes","Followed up",IF(TODAY()&gt;$F380,"Overdue by "&amp;(TODAY()-$F380)&amp;IF(TODAY()-$F380=1," day"," days"),IF(TODAY()=$F380,"Follow up today","Due in "&amp;($F380-TODAY())&amp;IF($F380-TODAY()=1," day"," days"))))))</f>
        <v/>
      </c>
      <c r="H380" s="25" t="n"/>
      <c r="I380" s="25" t="n"/>
      <c r="J380" s="25" t="n"/>
      <c r="K380" s="25" t="n"/>
    </row>
    <row r="381" ht="18" customHeight="1">
      <c r="A381" s="25" t="n"/>
      <c r="B381" s="25" t="n"/>
      <c r="C381" s="26" t="n"/>
      <c r="D381" s="25" t="n"/>
      <c r="E381" s="25" t="n"/>
      <c r="F381" s="27">
        <f>IF($C381="","",$C381+7)</f>
        <v/>
      </c>
      <c r="G381" s="28">
        <f>IF($C381="","",IF(AND($E381&lt;&gt;"Applied",$E381&lt;&gt;""),"-",IF($H381="Yes","Followed up",IF(TODAY()&gt;$F381,"Overdue by "&amp;(TODAY()-$F381)&amp;IF(TODAY()-$F381=1," day"," days"),IF(TODAY()=$F381,"Follow up today","Due in "&amp;($F381-TODAY())&amp;IF($F381-TODAY()=1," day"," days"))))))</f>
        <v/>
      </c>
      <c r="H381" s="25" t="n"/>
      <c r="I381" s="25" t="n"/>
      <c r="J381" s="25" t="n"/>
      <c r="K381" s="25" t="n"/>
    </row>
    <row r="382" ht="18" customHeight="1">
      <c r="A382" s="25" t="n"/>
      <c r="B382" s="25" t="n"/>
      <c r="C382" s="26" t="n"/>
      <c r="D382" s="25" t="n"/>
      <c r="E382" s="25" t="n"/>
      <c r="F382" s="27">
        <f>IF($C382="","",$C382+7)</f>
        <v/>
      </c>
      <c r="G382" s="28">
        <f>IF($C382="","",IF(AND($E382&lt;&gt;"Applied",$E382&lt;&gt;""),"-",IF($H382="Yes","Followed up",IF(TODAY()&gt;$F382,"Overdue by "&amp;(TODAY()-$F382)&amp;IF(TODAY()-$F382=1," day"," days"),IF(TODAY()=$F382,"Follow up today","Due in "&amp;($F382-TODAY())&amp;IF($F382-TODAY()=1," day"," days"))))))</f>
        <v/>
      </c>
      <c r="H382" s="25" t="n"/>
      <c r="I382" s="25" t="n"/>
      <c r="J382" s="25" t="n"/>
      <c r="K382" s="25" t="n"/>
    </row>
    <row r="383" ht="18" customHeight="1">
      <c r="A383" s="25" t="n"/>
      <c r="B383" s="25" t="n"/>
      <c r="C383" s="26" t="n"/>
      <c r="D383" s="25" t="n"/>
      <c r="E383" s="25" t="n"/>
      <c r="F383" s="27">
        <f>IF($C383="","",$C383+7)</f>
        <v/>
      </c>
      <c r="G383" s="28">
        <f>IF($C383="","",IF(AND($E383&lt;&gt;"Applied",$E383&lt;&gt;""),"-",IF($H383="Yes","Followed up",IF(TODAY()&gt;$F383,"Overdue by "&amp;(TODAY()-$F383)&amp;IF(TODAY()-$F383=1," day"," days"),IF(TODAY()=$F383,"Follow up today","Due in "&amp;($F383-TODAY())&amp;IF($F383-TODAY()=1," day"," days"))))))</f>
        <v/>
      </c>
      <c r="H383" s="25" t="n"/>
      <c r="I383" s="25" t="n"/>
      <c r="J383" s="25" t="n"/>
      <c r="K383" s="25" t="n"/>
    </row>
    <row r="384" ht="18" customHeight="1">
      <c r="A384" s="25" t="n"/>
      <c r="B384" s="25" t="n"/>
      <c r="C384" s="26" t="n"/>
      <c r="D384" s="25" t="n"/>
      <c r="E384" s="25" t="n"/>
      <c r="F384" s="27">
        <f>IF($C384="","",$C384+7)</f>
        <v/>
      </c>
      <c r="G384" s="28">
        <f>IF($C384="","",IF(AND($E384&lt;&gt;"Applied",$E384&lt;&gt;""),"-",IF($H384="Yes","Followed up",IF(TODAY()&gt;$F384,"Overdue by "&amp;(TODAY()-$F384)&amp;IF(TODAY()-$F384=1," day"," days"),IF(TODAY()=$F384,"Follow up today","Due in "&amp;($F384-TODAY())&amp;IF($F384-TODAY()=1," day"," days"))))))</f>
        <v/>
      </c>
      <c r="H384" s="25" t="n"/>
      <c r="I384" s="25" t="n"/>
      <c r="J384" s="25" t="n"/>
      <c r="K384" s="25" t="n"/>
    </row>
    <row r="385" ht="18" customHeight="1">
      <c r="A385" s="25" t="n"/>
      <c r="B385" s="25" t="n"/>
      <c r="C385" s="26" t="n"/>
      <c r="D385" s="25" t="n"/>
      <c r="E385" s="25" t="n"/>
      <c r="F385" s="27">
        <f>IF($C385="","",$C385+7)</f>
        <v/>
      </c>
      <c r="G385" s="28">
        <f>IF($C385="","",IF(AND($E385&lt;&gt;"Applied",$E385&lt;&gt;""),"-",IF($H385="Yes","Followed up",IF(TODAY()&gt;$F385,"Overdue by "&amp;(TODAY()-$F385)&amp;IF(TODAY()-$F385=1," day"," days"),IF(TODAY()=$F385,"Follow up today","Due in "&amp;($F385-TODAY())&amp;IF($F385-TODAY()=1," day"," days"))))))</f>
        <v/>
      </c>
      <c r="H385" s="25" t="n"/>
      <c r="I385" s="25" t="n"/>
      <c r="J385" s="25" t="n"/>
      <c r="K385" s="25" t="n"/>
    </row>
    <row r="386" ht="18" customHeight="1">
      <c r="A386" s="25" t="n"/>
      <c r="B386" s="25" t="n"/>
      <c r="C386" s="26" t="n"/>
      <c r="D386" s="25" t="n"/>
      <c r="E386" s="25" t="n"/>
      <c r="F386" s="27">
        <f>IF($C386="","",$C386+7)</f>
        <v/>
      </c>
      <c r="G386" s="28">
        <f>IF($C386="","",IF(AND($E386&lt;&gt;"Applied",$E386&lt;&gt;""),"-",IF($H386="Yes","Followed up",IF(TODAY()&gt;$F386,"Overdue by "&amp;(TODAY()-$F386)&amp;IF(TODAY()-$F386=1," day"," days"),IF(TODAY()=$F386,"Follow up today","Due in "&amp;($F386-TODAY())&amp;IF($F386-TODAY()=1," day"," days"))))))</f>
        <v/>
      </c>
      <c r="H386" s="25" t="n"/>
      <c r="I386" s="25" t="n"/>
      <c r="J386" s="25" t="n"/>
      <c r="K386" s="25" t="n"/>
    </row>
    <row r="387" ht="18" customHeight="1">
      <c r="A387" s="25" t="n"/>
      <c r="B387" s="25" t="n"/>
      <c r="C387" s="26" t="n"/>
      <c r="D387" s="25" t="n"/>
      <c r="E387" s="25" t="n"/>
      <c r="F387" s="27">
        <f>IF($C387="","",$C387+7)</f>
        <v/>
      </c>
      <c r="G387" s="28">
        <f>IF($C387="","",IF(AND($E387&lt;&gt;"Applied",$E387&lt;&gt;""),"-",IF($H387="Yes","Followed up",IF(TODAY()&gt;$F387,"Overdue by "&amp;(TODAY()-$F387)&amp;IF(TODAY()-$F387=1," day"," days"),IF(TODAY()=$F387,"Follow up today","Due in "&amp;($F387-TODAY())&amp;IF($F387-TODAY()=1," day"," days"))))))</f>
        <v/>
      </c>
      <c r="H387" s="25" t="n"/>
      <c r="I387" s="25" t="n"/>
      <c r="J387" s="25" t="n"/>
      <c r="K387" s="25" t="n"/>
    </row>
    <row r="388" ht="18" customHeight="1">
      <c r="A388" s="25" t="n"/>
      <c r="B388" s="25" t="n"/>
      <c r="C388" s="26" t="n"/>
      <c r="D388" s="25" t="n"/>
      <c r="E388" s="25" t="n"/>
      <c r="F388" s="27">
        <f>IF($C388="","",$C388+7)</f>
        <v/>
      </c>
      <c r="G388" s="28">
        <f>IF($C388="","",IF(AND($E388&lt;&gt;"Applied",$E388&lt;&gt;""),"-",IF($H388="Yes","Followed up",IF(TODAY()&gt;$F388,"Overdue by "&amp;(TODAY()-$F388)&amp;IF(TODAY()-$F388=1," day"," days"),IF(TODAY()=$F388,"Follow up today","Due in "&amp;($F388-TODAY())&amp;IF($F388-TODAY()=1," day"," days"))))))</f>
        <v/>
      </c>
      <c r="H388" s="25" t="n"/>
      <c r="I388" s="25" t="n"/>
      <c r="J388" s="25" t="n"/>
      <c r="K388" s="25" t="n"/>
    </row>
    <row r="389" ht="18" customHeight="1">
      <c r="A389" s="25" t="n"/>
      <c r="B389" s="25" t="n"/>
      <c r="C389" s="26" t="n"/>
      <c r="D389" s="25" t="n"/>
      <c r="E389" s="25" t="n"/>
      <c r="F389" s="27">
        <f>IF($C389="","",$C389+7)</f>
        <v/>
      </c>
      <c r="G389" s="28">
        <f>IF($C389="","",IF(AND($E389&lt;&gt;"Applied",$E389&lt;&gt;""),"-",IF($H389="Yes","Followed up",IF(TODAY()&gt;$F389,"Overdue by "&amp;(TODAY()-$F389)&amp;IF(TODAY()-$F389=1," day"," days"),IF(TODAY()=$F389,"Follow up today","Due in "&amp;($F389-TODAY())&amp;IF($F389-TODAY()=1," day"," days"))))))</f>
        <v/>
      </c>
      <c r="H389" s="25" t="n"/>
      <c r="I389" s="25" t="n"/>
      <c r="J389" s="25" t="n"/>
      <c r="K389" s="25" t="n"/>
    </row>
    <row r="390" ht="18" customHeight="1">
      <c r="A390" s="25" t="n"/>
      <c r="B390" s="25" t="n"/>
      <c r="C390" s="26" t="n"/>
      <c r="D390" s="25" t="n"/>
      <c r="E390" s="25" t="n"/>
      <c r="F390" s="27">
        <f>IF($C390="","",$C390+7)</f>
        <v/>
      </c>
      <c r="G390" s="28">
        <f>IF($C390="","",IF(AND($E390&lt;&gt;"Applied",$E390&lt;&gt;""),"-",IF($H390="Yes","Followed up",IF(TODAY()&gt;$F390,"Overdue by "&amp;(TODAY()-$F390)&amp;IF(TODAY()-$F390=1," day"," days"),IF(TODAY()=$F390,"Follow up today","Due in "&amp;($F390-TODAY())&amp;IF($F390-TODAY()=1," day"," days"))))))</f>
        <v/>
      </c>
      <c r="H390" s="25" t="n"/>
      <c r="I390" s="25" t="n"/>
      <c r="J390" s="25" t="n"/>
      <c r="K390" s="25" t="n"/>
    </row>
    <row r="391" ht="18" customHeight="1">
      <c r="A391" s="25" t="n"/>
      <c r="B391" s="25" t="n"/>
      <c r="C391" s="26" t="n"/>
      <c r="D391" s="25" t="n"/>
      <c r="E391" s="25" t="n"/>
      <c r="F391" s="27">
        <f>IF($C391="","",$C391+7)</f>
        <v/>
      </c>
      <c r="G391" s="28">
        <f>IF($C391="","",IF(AND($E391&lt;&gt;"Applied",$E391&lt;&gt;""),"-",IF($H391="Yes","Followed up",IF(TODAY()&gt;$F391,"Overdue by "&amp;(TODAY()-$F391)&amp;IF(TODAY()-$F391=1," day"," days"),IF(TODAY()=$F391,"Follow up today","Due in "&amp;($F391-TODAY())&amp;IF($F391-TODAY()=1," day"," days"))))))</f>
        <v/>
      </c>
      <c r="H391" s="25" t="n"/>
      <c r="I391" s="25" t="n"/>
      <c r="J391" s="25" t="n"/>
      <c r="K391" s="25" t="n"/>
    </row>
    <row r="392" ht="18" customHeight="1">
      <c r="A392" s="25" t="n"/>
      <c r="B392" s="25" t="n"/>
      <c r="C392" s="26" t="n"/>
      <c r="D392" s="25" t="n"/>
      <c r="E392" s="25" t="n"/>
      <c r="F392" s="27">
        <f>IF($C392="","",$C392+7)</f>
        <v/>
      </c>
      <c r="G392" s="28">
        <f>IF($C392="","",IF(AND($E392&lt;&gt;"Applied",$E392&lt;&gt;""),"-",IF($H392="Yes","Followed up",IF(TODAY()&gt;$F392,"Overdue by "&amp;(TODAY()-$F392)&amp;IF(TODAY()-$F392=1," day"," days"),IF(TODAY()=$F392,"Follow up today","Due in "&amp;($F392-TODAY())&amp;IF($F392-TODAY()=1," day"," days"))))))</f>
        <v/>
      </c>
      <c r="H392" s="25" t="n"/>
      <c r="I392" s="25" t="n"/>
      <c r="J392" s="25" t="n"/>
      <c r="K392" s="25" t="n"/>
    </row>
    <row r="393" ht="18" customHeight="1">
      <c r="A393" s="25" t="n"/>
      <c r="B393" s="25" t="n"/>
      <c r="C393" s="26" t="n"/>
      <c r="D393" s="25" t="n"/>
      <c r="E393" s="25" t="n"/>
      <c r="F393" s="27">
        <f>IF($C393="","",$C393+7)</f>
        <v/>
      </c>
      <c r="G393" s="28">
        <f>IF($C393="","",IF(AND($E393&lt;&gt;"Applied",$E393&lt;&gt;""),"-",IF($H393="Yes","Followed up",IF(TODAY()&gt;$F393,"Overdue by "&amp;(TODAY()-$F393)&amp;IF(TODAY()-$F393=1," day"," days"),IF(TODAY()=$F393,"Follow up today","Due in "&amp;($F393-TODAY())&amp;IF($F393-TODAY()=1," day"," days"))))))</f>
        <v/>
      </c>
      <c r="H393" s="25" t="n"/>
      <c r="I393" s="25" t="n"/>
      <c r="J393" s="25" t="n"/>
      <c r="K393" s="25" t="n"/>
    </row>
    <row r="394" ht="18" customHeight="1">
      <c r="A394" s="25" t="n"/>
      <c r="B394" s="25" t="n"/>
      <c r="C394" s="26" t="n"/>
      <c r="D394" s="25" t="n"/>
      <c r="E394" s="25" t="n"/>
      <c r="F394" s="27">
        <f>IF($C394="","",$C394+7)</f>
        <v/>
      </c>
      <c r="G394" s="28">
        <f>IF($C394="","",IF(AND($E394&lt;&gt;"Applied",$E394&lt;&gt;""),"-",IF($H394="Yes","Followed up",IF(TODAY()&gt;$F394,"Overdue by "&amp;(TODAY()-$F394)&amp;IF(TODAY()-$F394=1," day"," days"),IF(TODAY()=$F394,"Follow up today","Due in "&amp;($F394-TODAY())&amp;IF($F394-TODAY()=1," day"," days"))))))</f>
        <v/>
      </c>
      <c r="H394" s="25" t="n"/>
      <c r="I394" s="25" t="n"/>
      <c r="J394" s="25" t="n"/>
      <c r="K394" s="25" t="n"/>
    </row>
    <row r="395" ht="18" customHeight="1">
      <c r="A395" s="25" t="n"/>
      <c r="B395" s="25" t="n"/>
      <c r="C395" s="26" t="n"/>
      <c r="D395" s="25" t="n"/>
      <c r="E395" s="25" t="n"/>
      <c r="F395" s="27">
        <f>IF($C395="","",$C395+7)</f>
        <v/>
      </c>
      <c r="G395" s="28">
        <f>IF($C395="","",IF(AND($E395&lt;&gt;"Applied",$E395&lt;&gt;""),"-",IF($H395="Yes","Followed up",IF(TODAY()&gt;$F395,"Overdue by "&amp;(TODAY()-$F395)&amp;IF(TODAY()-$F395=1," day"," days"),IF(TODAY()=$F395,"Follow up today","Due in "&amp;($F395-TODAY())&amp;IF($F395-TODAY()=1," day"," days"))))))</f>
        <v/>
      </c>
      <c r="H395" s="25" t="n"/>
      <c r="I395" s="25" t="n"/>
      <c r="J395" s="25" t="n"/>
      <c r="K395" s="25" t="n"/>
    </row>
    <row r="396" ht="18" customHeight="1">
      <c r="A396" s="25" t="n"/>
      <c r="B396" s="25" t="n"/>
      <c r="C396" s="26" t="n"/>
      <c r="D396" s="25" t="n"/>
      <c r="E396" s="25" t="n"/>
      <c r="F396" s="27">
        <f>IF($C396="","",$C396+7)</f>
        <v/>
      </c>
      <c r="G396" s="28">
        <f>IF($C396="","",IF(AND($E396&lt;&gt;"Applied",$E396&lt;&gt;""),"-",IF($H396="Yes","Followed up",IF(TODAY()&gt;$F396,"Overdue by "&amp;(TODAY()-$F396)&amp;IF(TODAY()-$F396=1," day"," days"),IF(TODAY()=$F396,"Follow up today","Due in "&amp;($F396-TODAY())&amp;IF($F396-TODAY()=1," day"," days"))))))</f>
        <v/>
      </c>
      <c r="H396" s="25" t="n"/>
      <c r="I396" s="25" t="n"/>
      <c r="J396" s="25" t="n"/>
      <c r="K396" s="25" t="n"/>
    </row>
    <row r="397" ht="18" customHeight="1">
      <c r="A397" s="25" t="n"/>
      <c r="B397" s="25" t="n"/>
      <c r="C397" s="26" t="n"/>
      <c r="D397" s="25" t="n"/>
      <c r="E397" s="25" t="n"/>
      <c r="F397" s="27">
        <f>IF($C397="","",$C397+7)</f>
        <v/>
      </c>
      <c r="G397" s="28">
        <f>IF($C397="","",IF(AND($E397&lt;&gt;"Applied",$E397&lt;&gt;""),"-",IF($H397="Yes","Followed up",IF(TODAY()&gt;$F397,"Overdue by "&amp;(TODAY()-$F397)&amp;IF(TODAY()-$F397=1," day"," days"),IF(TODAY()=$F397,"Follow up today","Due in "&amp;($F397-TODAY())&amp;IF($F397-TODAY()=1," day"," days"))))))</f>
        <v/>
      </c>
      <c r="H397" s="25" t="n"/>
      <c r="I397" s="25" t="n"/>
      <c r="J397" s="25" t="n"/>
      <c r="K397" s="25" t="n"/>
    </row>
    <row r="398" ht="18" customHeight="1">
      <c r="A398" s="25" t="n"/>
      <c r="B398" s="25" t="n"/>
      <c r="C398" s="26" t="n"/>
      <c r="D398" s="25" t="n"/>
      <c r="E398" s="25" t="n"/>
      <c r="F398" s="27">
        <f>IF($C398="","",$C398+7)</f>
        <v/>
      </c>
      <c r="G398" s="28">
        <f>IF($C398="","",IF(AND($E398&lt;&gt;"Applied",$E398&lt;&gt;""),"-",IF($H398="Yes","Followed up",IF(TODAY()&gt;$F398,"Overdue by "&amp;(TODAY()-$F398)&amp;IF(TODAY()-$F398=1," day"," days"),IF(TODAY()=$F398,"Follow up today","Due in "&amp;($F398-TODAY())&amp;IF($F398-TODAY()=1," day"," days"))))))</f>
        <v/>
      </c>
      <c r="H398" s="25" t="n"/>
      <c r="I398" s="25" t="n"/>
      <c r="J398" s="25" t="n"/>
      <c r="K398" s="25" t="n"/>
    </row>
    <row r="399" ht="18" customHeight="1">
      <c r="A399" s="25" t="n"/>
      <c r="B399" s="25" t="n"/>
      <c r="C399" s="26" t="n"/>
      <c r="D399" s="25" t="n"/>
      <c r="E399" s="25" t="n"/>
      <c r="F399" s="27">
        <f>IF($C399="","",$C399+7)</f>
        <v/>
      </c>
      <c r="G399" s="28">
        <f>IF($C399="","",IF(AND($E399&lt;&gt;"Applied",$E399&lt;&gt;""),"-",IF($H399="Yes","Followed up",IF(TODAY()&gt;$F399,"Overdue by "&amp;(TODAY()-$F399)&amp;IF(TODAY()-$F399=1," day"," days"),IF(TODAY()=$F399,"Follow up today","Due in "&amp;($F399-TODAY())&amp;IF($F399-TODAY()=1," day"," days"))))))</f>
        <v/>
      </c>
      <c r="H399" s="25" t="n"/>
      <c r="I399" s="25" t="n"/>
      <c r="J399" s="25" t="n"/>
      <c r="K399" s="25" t="n"/>
    </row>
    <row r="400" ht="18" customHeight="1">
      <c r="A400" s="25" t="n"/>
      <c r="B400" s="25" t="n"/>
      <c r="C400" s="26" t="n"/>
      <c r="D400" s="25" t="n"/>
      <c r="E400" s="25" t="n"/>
      <c r="F400" s="27">
        <f>IF($C400="","",$C400+7)</f>
        <v/>
      </c>
      <c r="G400" s="28">
        <f>IF($C400="","",IF(AND($E400&lt;&gt;"Applied",$E400&lt;&gt;""),"-",IF($H400="Yes","Followed up",IF(TODAY()&gt;$F400,"Overdue by "&amp;(TODAY()-$F400)&amp;IF(TODAY()-$F400=1," day"," days"),IF(TODAY()=$F400,"Follow up today","Due in "&amp;($F400-TODAY())&amp;IF($F400-TODAY()=1," day"," days"))))))</f>
        <v/>
      </c>
      <c r="H400" s="25" t="n"/>
      <c r="I400" s="25" t="n"/>
      <c r="J400" s="25" t="n"/>
      <c r="K400" s="25" t="n"/>
    </row>
    <row r="401" ht="18" customHeight="1">
      <c r="A401" s="25" t="n"/>
      <c r="B401" s="25" t="n"/>
      <c r="C401" s="26" t="n"/>
      <c r="D401" s="25" t="n"/>
      <c r="E401" s="25" t="n"/>
      <c r="F401" s="27">
        <f>IF($C401="","",$C401+7)</f>
        <v/>
      </c>
      <c r="G401" s="28">
        <f>IF($C401="","",IF(AND($E401&lt;&gt;"Applied",$E401&lt;&gt;""),"-",IF($H401="Yes","Followed up",IF(TODAY()&gt;$F401,"Overdue by "&amp;(TODAY()-$F401)&amp;IF(TODAY()-$F401=1," day"," days"),IF(TODAY()=$F401,"Follow up today","Due in "&amp;($F401-TODAY())&amp;IF($F401-TODAY()=1," day"," days"))))))</f>
        <v/>
      </c>
      <c r="H401" s="25" t="n"/>
      <c r="I401" s="25" t="n"/>
      <c r="J401" s="25" t="n"/>
      <c r="K401" s="25" t="n"/>
    </row>
    <row r="402" ht="18" customHeight="1">
      <c r="A402" s="25" t="n"/>
      <c r="B402" s="25" t="n"/>
      <c r="C402" s="26" t="n"/>
      <c r="D402" s="25" t="n"/>
      <c r="E402" s="25" t="n"/>
      <c r="F402" s="27">
        <f>IF($C402="","",$C402+7)</f>
        <v/>
      </c>
      <c r="G402" s="28">
        <f>IF($C402="","",IF(AND($E402&lt;&gt;"Applied",$E402&lt;&gt;""),"-",IF($H402="Yes","Followed up",IF(TODAY()&gt;$F402,"Overdue by "&amp;(TODAY()-$F402)&amp;IF(TODAY()-$F402=1," day"," days"),IF(TODAY()=$F402,"Follow up today","Due in "&amp;($F402-TODAY())&amp;IF($F402-TODAY()=1," day"," days"))))))</f>
        <v/>
      </c>
      <c r="H402" s="25" t="n"/>
      <c r="I402" s="25" t="n"/>
      <c r="J402" s="25" t="n"/>
      <c r="K402" s="25" t="n"/>
    </row>
    <row r="403" ht="18" customHeight="1">
      <c r="A403" s="25" t="n"/>
      <c r="B403" s="25" t="n"/>
      <c r="C403" s="26" t="n"/>
      <c r="D403" s="25" t="n"/>
      <c r="E403" s="25" t="n"/>
      <c r="F403" s="27">
        <f>IF($C403="","",$C403+7)</f>
        <v/>
      </c>
      <c r="G403" s="28">
        <f>IF($C403="","",IF(AND($E403&lt;&gt;"Applied",$E403&lt;&gt;""),"-",IF($H403="Yes","Followed up",IF(TODAY()&gt;$F403,"Overdue by "&amp;(TODAY()-$F403)&amp;IF(TODAY()-$F403=1," day"," days"),IF(TODAY()=$F403,"Follow up today","Due in "&amp;($F403-TODAY())&amp;IF($F403-TODAY()=1," day"," days"))))))</f>
        <v/>
      </c>
      <c r="H403" s="25" t="n"/>
      <c r="I403" s="25" t="n"/>
      <c r="J403" s="25" t="n"/>
      <c r="K403" s="25" t="n"/>
    </row>
    <row r="404" ht="18" customHeight="1">
      <c r="A404" s="25" t="n"/>
      <c r="B404" s="25" t="n"/>
      <c r="C404" s="26" t="n"/>
      <c r="D404" s="25" t="n"/>
      <c r="E404" s="25" t="n"/>
      <c r="F404" s="27">
        <f>IF($C404="","",$C404+7)</f>
        <v/>
      </c>
      <c r="G404" s="28">
        <f>IF($C404="","",IF(AND($E404&lt;&gt;"Applied",$E404&lt;&gt;""),"-",IF($H404="Yes","Followed up",IF(TODAY()&gt;$F404,"Overdue by "&amp;(TODAY()-$F404)&amp;IF(TODAY()-$F404=1," day"," days"),IF(TODAY()=$F404,"Follow up today","Due in "&amp;($F404-TODAY())&amp;IF($F404-TODAY()=1," day"," days"))))))</f>
        <v/>
      </c>
      <c r="H404" s="25" t="n"/>
      <c r="I404" s="25" t="n"/>
      <c r="J404" s="25" t="n"/>
      <c r="K404" s="25" t="n"/>
    </row>
    <row r="405" ht="18" customHeight="1">
      <c r="A405" s="25" t="n"/>
      <c r="B405" s="25" t="n"/>
      <c r="C405" s="26" t="n"/>
      <c r="D405" s="25" t="n"/>
      <c r="E405" s="25" t="n"/>
      <c r="F405" s="27">
        <f>IF($C405="","",$C405+7)</f>
        <v/>
      </c>
      <c r="G405" s="28">
        <f>IF($C405="","",IF(AND($E405&lt;&gt;"Applied",$E405&lt;&gt;""),"-",IF($H405="Yes","Followed up",IF(TODAY()&gt;$F405,"Overdue by "&amp;(TODAY()-$F405)&amp;IF(TODAY()-$F405=1," day"," days"),IF(TODAY()=$F405,"Follow up today","Due in "&amp;($F405-TODAY())&amp;IF($F405-TODAY()=1," day"," days"))))))</f>
        <v/>
      </c>
      <c r="H405" s="25" t="n"/>
      <c r="I405" s="25" t="n"/>
      <c r="J405" s="25" t="n"/>
      <c r="K405" s="25" t="n"/>
    </row>
    <row r="406" ht="18" customHeight="1">
      <c r="A406" s="25" t="n"/>
      <c r="B406" s="25" t="n"/>
      <c r="C406" s="26" t="n"/>
      <c r="D406" s="25" t="n"/>
      <c r="E406" s="25" t="n"/>
      <c r="F406" s="27">
        <f>IF($C406="","",$C406+7)</f>
        <v/>
      </c>
      <c r="G406" s="28">
        <f>IF($C406="","",IF(AND($E406&lt;&gt;"Applied",$E406&lt;&gt;""),"-",IF($H406="Yes","Followed up",IF(TODAY()&gt;$F406,"Overdue by "&amp;(TODAY()-$F406)&amp;IF(TODAY()-$F406=1," day"," days"),IF(TODAY()=$F406,"Follow up today","Due in "&amp;($F406-TODAY())&amp;IF($F406-TODAY()=1," day"," days"))))))</f>
        <v/>
      </c>
      <c r="H406" s="25" t="n"/>
      <c r="I406" s="25" t="n"/>
      <c r="J406" s="25" t="n"/>
      <c r="K406" s="25" t="n"/>
    </row>
    <row r="407" ht="18" customHeight="1">
      <c r="A407" s="25" t="n"/>
      <c r="B407" s="25" t="n"/>
      <c r="C407" s="26" t="n"/>
      <c r="D407" s="25" t="n"/>
      <c r="E407" s="25" t="n"/>
      <c r="F407" s="27">
        <f>IF($C407="","",$C407+7)</f>
        <v/>
      </c>
      <c r="G407" s="28">
        <f>IF($C407="","",IF(AND($E407&lt;&gt;"Applied",$E407&lt;&gt;""),"-",IF($H407="Yes","Followed up",IF(TODAY()&gt;$F407,"Overdue by "&amp;(TODAY()-$F407)&amp;IF(TODAY()-$F407=1," day"," days"),IF(TODAY()=$F407,"Follow up today","Due in "&amp;($F407-TODAY())&amp;IF($F407-TODAY()=1," day"," days"))))))</f>
        <v/>
      </c>
      <c r="H407" s="25" t="n"/>
      <c r="I407" s="25" t="n"/>
      <c r="J407" s="25" t="n"/>
      <c r="K407" s="25" t="n"/>
    </row>
    <row r="408" ht="18" customHeight="1">
      <c r="A408" s="25" t="n"/>
      <c r="B408" s="25" t="n"/>
      <c r="C408" s="26" t="n"/>
      <c r="D408" s="25" t="n"/>
      <c r="E408" s="25" t="n"/>
      <c r="F408" s="27">
        <f>IF($C408="","",$C408+7)</f>
        <v/>
      </c>
      <c r="G408" s="28">
        <f>IF($C408="","",IF(AND($E408&lt;&gt;"Applied",$E408&lt;&gt;""),"-",IF($H408="Yes","Followed up",IF(TODAY()&gt;$F408,"Overdue by "&amp;(TODAY()-$F408)&amp;IF(TODAY()-$F408=1," day"," days"),IF(TODAY()=$F408,"Follow up today","Due in "&amp;($F408-TODAY())&amp;IF($F408-TODAY()=1," day"," days"))))))</f>
        <v/>
      </c>
      <c r="H408" s="25" t="n"/>
      <c r="I408" s="25" t="n"/>
      <c r="J408" s="25" t="n"/>
      <c r="K408" s="25" t="n"/>
    </row>
    <row r="409" ht="18" customHeight="1">
      <c r="A409" s="25" t="n"/>
      <c r="B409" s="25" t="n"/>
      <c r="C409" s="26" t="n"/>
      <c r="D409" s="25" t="n"/>
      <c r="E409" s="25" t="n"/>
      <c r="F409" s="27">
        <f>IF($C409="","",$C409+7)</f>
        <v/>
      </c>
      <c r="G409" s="28">
        <f>IF($C409="","",IF(AND($E409&lt;&gt;"Applied",$E409&lt;&gt;""),"-",IF($H409="Yes","Followed up",IF(TODAY()&gt;$F409,"Overdue by "&amp;(TODAY()-$F409)&amp;IF(TODAY()-$F409=1," day"," days"),IF(TODAY()=$F409,"Follow up today","Due in "&amp;($F409-TODAY())&amp;IF($F409-TODAY()=1," day"," days"))))))</f>
        <v/>
      </c>
      <c r="H409" s="25" t="n"/>
      <c r="I409" s="25" t="n"/>
      <c r="J409" s="25" t="n"/>
      <c r="K409" s="25" t="n"/>
    </row>
    <row r="410" ht="18" customHeight="1">
      <c r="A410" s="25" t="n"/>
      <c r="B410" s="25" t="n"/>
      <c r="C410" s="26" t="n"/>
      <c r="D410" s="25" t="n"/>
      <c r="E410" s="25" t="n"/>
      <c r="F410" s="27">
        <f>IF($C410="","",$C410+7)</f>
        <v/>
      </c>
      <c r="G410" s="28">
        <f>IF($C410="","",IF(AND($E410&lt;&gt;"Applied",$E410&lt;&gt;""),"-",IF($H410="Yes","Followed up",IF(TODAY()&gt;$F410,"Overdue by "&amp;(TODAY()-$F410)&amp;IF(TODAY()-$F410=1," day"," days"),IF(TODAY()=$F410,"Follow up today","Due in "&amp;($F410-TODAY())&amp;IF($F410-TODAY()=1," day"," days"))))))</f>
        <v/>
      </c>
      <c r="H410" s="25" t="n"/>
      <c r="I410" s="25" t="n"/>
      <c r="J410" s="25" t="n"/>
      <c r="K410" s="25" t="n"/>
    </row>
    <row r="411" ht="18" customHeight="1">
      <c r="A411" s="25" t="n"/>
      <c r="B411" s="25" t="n"/>
      <c r="C411" s="26" t="n"/>
      <c r="D411" s="25" t="n"/>
      <c r="E411" s="25" t="n"/>
      <c r="F411" s="27">
        <f>IF($C411="","",$C411+7)</f>
        <v/>
      </c>
      <c r="G411" s="28">
        <f>IF($C411="","",IF(AND($E411&lt;&gt;"Applied",$E411&lt;&gt;""),"-",IF($H411="Yes","Followed up",IF(TODAY()&gt;$F411,"Overdue by "&amp;(TODAY()-$F411)&amp;IF(TODAY()-$F411=1," day"," days"),IF(TODAY()=$F411,"Follow up today","Due in "&amp;($F411-TODAY())&amp;IF($F411-TODAY()=1," day"," days"))))))</f>
        <v/>
      </c>
      <c r="H411" s="25" t="n"/>
      <c r="I411" s="25" t="n"/>
      <c r="J411" s="25" t="n"/>
      <c r="K411" s="25" t="n"/>
    </row>
    <row r="412" ht="18" customHeight="1">
      <c r="A412" s="25" t="n"/>
      <c r="B412" s="25" t="n"/>
      <c r="C412" s="26" t="n"/>
      <c r="D412" s="25" t="n"/>
      <c r="E412" s="25" t="n"/>
      <c r="F412" s="27">
        <f>IF($C412="","",$C412+7)</f>
        <v/>
      </c>
      <c r="G412" s="28">
        <f>IF($C412="","",IF(AND($E412&lt;&gt;"Applied",$E412&lt;&gt;""),"-",IF($H412="Yes","Followed up",IF(TODAY()&gt;$F412,"Overdue by "&amp;(TODAY()-$F412)&amp;IF(TODAY()-$F412=1," day"," days"),IF(TODAY()=$F412,"Follow up today","Due in "&amp;($F412-TODAY())&amp;IF($F412-TODAY()=1," day"," days"))))))</f>
        <v/>
      </c>
      <c r="H412" s="25" t="n"/>
      <c r="I412" s="25" t="n"/>
      <c r="J412" s="25" t="n"/>
      <c r="K412" s="25" t="n"/>
    </row>
    <row r="413" ht="18" customHeight="1">
      <c r="A413" s="25" t="n"/>
      <c r="B413" s="25" t="n"/>
      <c r="C413" s="26" t="n"/>
      <c r="D413" s="25" t="n"/>
      <c r="E413" s="25" t="n"/>
      <c r="F413" s="27">
        <f>IF($C413="","",$C413+7)</f>
        <v/>
      </c>
      <c r="G413" s="28">
        <f>IF($C413="","",IF(AND($E413&lt;&gt;"Applied",$E413&lt;&gt;""),"-",IF($H413="Yes","Followed up",IF(TODAY()&gt;$F413,"Overdue by "&amp;(TODAY()-$F413)&amp;IF(TODAY()-$F413=1," day"," days"),IF(TODAY()=$F413,"Follow up today","Due in "&amp;($F413-TODAY())&amp;IF($F413-TODAY()=1," day"," days"))))))</f>
        <v/>
      </c>
      <c r="H413" s="25" t="n"/>
      <c r="I413" s="25" t="n"/>
      <c r="J413" s="25" t="n"/>
      <c r="K413" s="25" t="n"/>
    </row>
    <row r="414" ht="18" customHeight="1">
      <c r="A414" s="25" t="n"/>
      <c r="B414" s="25" t="n"/>
      <c r="C414" s="26" t="n"/>
      <c r="D414" s="25" t="n"/>
      <c r="E414" s="25" t="n"/>
      <c r="F414" s="27">
        <f>IF($C414="","",$C414+7)</f>
        <v/>
      </c>
      <c r="G414" s="28">
        <f>IF($C414="","",IF(AND($E414&lt;&gt;"Applied",$E414&lt;&gt;""),"-",IF($H414="Yes","Followed up",IF(TODAY()&gt;$F414,"Overdue by "&amp;(TODAY()-$F414)&amp;IF(TODAY()-$F414=1," day"," days"),IF(TODAY()=$F414,"Follow up today","Due in "&amp;($F414-TODAY())&amp;IF($F414-TODAY()=1," day"," days"))))))</f>
        <v/>
      </c>
      <c r="H414" s="25" t="n"/>
      <c r="I414" s="25" t="n"/>
      <c r="J414" s="25" t="n"/>
      <c r="K414" s="25" t="n"/>
    </row>
    <row r="415" ht="18" customHeight="1">
      <c r="A415" s="25" t="n"/>
      <c r="B415" s="25" t="n"/>
      <c r="C415" s="26" t="n"/>
      <c r="D415" s="25" t="n"/>
      <c r="E415" s="25" t="n"/>
      <c r="F415" s="27">
        <f>IF($C415="","",$C415+7)</f>
        <v/>
      </c>
      <c r="G415" s="28">
        <f>IF($C415="","",IF(AND($E415&lt;&gt;"Applied",$E415&lt;&gt;""),"-",IF($H415="Yes","Followed up",IF(TODAY()&gt;$F415,"Overdue by "&amp;(TODAY()-$F415)&amp;IF(TODAY()-$F415=1," day"," days"),IF(TODAY()=$F415,"Follow up today","Due in "&amp;($F415-TODAY())&amp;IF($F415-TODAY()=1," day"," days"))))))</f>
        <v/>
      </c>
      <c r="H415" s="25" t="n"/>
      <c r="I415" s="25" t="n"/>
      <c r="J415" s="25" t="n"/>
      <c r="K415" s="25" t="n"/>
    </row>
    <row r="416" ht="18" customHeight="1">
      <c r="A416" s="25" t="n"/>
      <c r="B416" s="25" t="n"/>
      <c r="C416" s="26" t="n"/>
      <c r="D416" s="25" t="n"/>
      <c r="E416" s="25" t="n"/>
      <c r="F416" s="27">
        <f>IF($C416="","",$C416+7)</f>
        <v/>
      </c>
      <c r="G416" s="28">
        <f>IF($C416="","",IF(AND($E416&lt;&gt;"Applied",$E416&lt;&gt;""),"-",IF($H416="Yes","Followed up",IF(TODAY()&gt;$F416,"Overdue by "&amp;(TODAY()-$F416)&amp;IF(TODAY()-$F416=1," day"," days"),IF(TODAY()=$F416,"Follow up today","Due in "&amp;($F416-TODAY())&amp;IF($F416-TODAY()=1," day"," days"))))))</f>
        <v/>
      </c>
      <c r="H416" s="25" t="n"/>
      <c r="I416" s="25" t="n"/>
      <c r="J416" s="25" t="n"/>
      <c r="K416" s="25" t="n"/>
    </row>
    <row r="417" ht="18" customHeight="1">
      <c r="A417" s="25" t="n"/>
      <c r="B417" s="25" t="n"/>
      <c r="C417" s="26" t="n"/>
      <c r="D417" s="25" t="n"/>
      <c r="E417" s="25" t="n"/>
      <c r="F417" s="27">
        <f>IF($C417="","",$C417+7)</f>
        <v/>
      </c>
      <c r="G417" s="28">
        <f>IF($C417="","",IF(AND($E417&lt;&gt;"Applied",$E417&lt;&gt;""),"-",IF($H417="Yes","Followed up",IF(TODAY()&gt;$F417,"Overdue by "&amp;(TODAY()-$F417)&amp;IF(TODAY()-$F417=1," day"," days"),IF(TODAY()=$F417,"Follow up today","Due in "&amp;($F417-TODAY())&amp;IF($F417-TODAY()=1," day"," days"))))))</f>
        <v/>
      </c>
      <c r="H417" s="25" t="n"/>
      <c r="I417" s="25" t="n"/>
      <c r="J417" s="25" t="n"/>
      <c r="K417" s="25" t="n"/>
    </row>
    <row r="418" ht="18" customHeight="1">
      <c r="A418" s="25" t="n"/>
      <c r="B418" s="25" t="n"/>
      <c r="C418" s="26" t="n"/>
      <c r="D418" s="25" t="n"/>
      <c r="E418" s="25" t="n"/>
      <c r="F418" s="27">
        <f>IF($C418="","",$C418+7)</f>
        <v/>
      </c>
      <c r="G418" s="28">
        <f>IF($C418="","",IF(AND($E418&lt;&gt;"Applied",$E418&lt;&gt;""),"-",IF($H418="Yes","Followed up",IF(TODAY()&gt;$F418,"Overdue by "&amp;(TODAY()-$F418)&amp;IF(TODAY()-$F418=1," day"," days"),IF(TODAY()=$F418,"Follow up today","Due in "&amp;($F418-TODAY())&amp;IF($F418-TODAY()=1," day"," days"))))))</f>
        <v/>
      </c>
      <c r="H418" s="25" t="n"/>
      <c r="I418" s="25" t="n"/>
      <c r="J418" s="25" t="n"/>
      <c r="K418" s="25" t="n"/>
    </row>
    <row r="419" ht="18" customHeight="1">
      <c r="A419" s="25" t="n"/>
      <c r="B419" s="25" t="n"/>
      <c r="C419" s="26" t="n"/>
      <c r="D419" s="25" t="n"/>
      <c r="E419" s="25" t="n"/>
      <c r="F419" s="27">
        <f>IF($C419="","",$C419+7)</f>
        <v/>
      </c>
      <c r="G419" s="28">
        <f>IF($C419="","",IF(AND($E419&lt;&gt;"Applied",$E419&lt;&gt;""),"-",IF($H419="Yes","Followed up",IF(TODAY()&gt;$F419,"Overdue by "&amp;(TODAY()-$F419)&amp;IF(TODAY()-$F419=1," day"," days"),IF(TODAY()=$F419,"Follow up today","Due in "&amp;($F419-TODAY())&amp;IF($F419-TODAY()=1," day"," days"))))))</f>
        <v/>
      </c>
      <c r="H419" s="25" t="n"/>
      <c r="I419" s="25" t="n"/>
      <c r="J419" s="25" t="n"/>
      <c r="K419" s="25" t="n"/>
    </row>
    <row r="420" ht="18" customHeight="1">
      <c r="A420" s="25" t="n"/>
      <c r="B420" s="25" t="n"/>
      <c r="C420" s="26" t="n"/>
      <c r="D420" s="25" t="n"/>
      <c r="E420" s="25" t="n"/>
      <c r="F420" s="27">
        <f>IF($C420="","",$C420+7)</f>
        <v/>
      </c>
      <c r="G420" s="28">
        <f>IF($C420="","",IF(AND($E420&lt;&gt;"Applied",$E420&lt;&gt;""),"-",IF($H420="Yes","Followed up",IF(TODAY()&gt;$F420,"Overdue by "&amp;(TODAY()-$F420)&amp;IF(TODAY()-$F420=1," day"," days"),IF(TODAY()=$F420,"Follow up today","Due in "&amp;($F420-TODAY())&amp;IF($F420-TODAY()=1," day"," days"))))))</f>
        <v/>
      </c>
      <c r="H420" s="25" t="n"/>
      <c r="I420" s="25" t="n"/>
      <c r="J420" s="25" t="n"/>
      <c r="K420" s="25" t="n"/>
    </row>
    <row r="421" ht="18" customHeight="1">
      <c r="A421" s="25" t="n"/>
      <c r="B421" s="25" t="n"/>
      <c r="C421" s="26" t="n"/>
      <c r="D421" s="25" t="n"/>
      <c r="E421" s="25" t="n"/>
      <c r="F421" s="27">
        <f>IF($C421="","",$C421+7)</f>
        <v/>
      </c>
      <c r="G421" s="28">
        <f>IF($C421="","",IF(AND($E421&lt;&gt;"Applied",$E421&lt;&gt;""),"-",IF($H421="Yes","Followed up",IF(TODAY()&gt;$F421,"Overdue by "&amp;(TODAY()-$F421)&amp;IF(TODAY()-$F421=1," day"," days"),IF(TODAY()=$F421,"Follow up today","Due in "&amp;($F421-TODAY())&amp;IF($F421-TODAY()=1," day"," days"))))))</f>
        <v/>
      </c>
      <c r="H421" s="25" t="n"/>
      <c r="I421" s="25" t="n"/>
      <c r="J421" s="25" t="n"/>
      <c r="K421" s="25" t="n"/>
    </row>
    <row r="422" ht="18" customHeight="1">
      <c r="A422" s="25" t="n"/>
      <c r="B422" s="25" t="n"/>
      <c r="C422" s="26" t="n"/>
      <c r="D422" s="25" t="n"/>
      <c r="E422" s="25" t="n"/>
      <c r="F422" s="27">
        <f>IF($C422="","",$C422+7)</f>
        <v/>
      </c>
      <c r="G422" s="28">
        <f>IF($C422="","",IF(AND($E422&lt;&gt;"Applied",$E422&lt;&gt;""),"-",IF($H422="Yes","Followed up",IF(TODAY()&gt;$F422,"Overdue by "&amp;(TODAY()-$F422)&amp;IF(TODAY()-$F422=1," day"," days"),IF(TODAY()=$F422,"Follow up today","Due in "&amp;($F422-TODAY())&amp;IF($F422-TODAY()=1," day"," days"))))))</f>
        <v/>
      </c>
      <c r="H422" s="25" t="n"/>
      <c r="I422" s="25" t="n"/>
      <c r="J422" s="25" t="n"/>
      <c r="K422" s="25" t="n"/>
    </row>
    <row r="423" ht="18" customHeight="1">
      <c r="A423" s="25" t="n"/>
      <c r="B423" s="25" t="n"/>
      <c r="C423" s="26" t="n"/>
      <c r="D423" s="25" t="n"/>
      <c r="E423" s="25" t="n"/>
      <c r="F423" s="27">
        <f>IF($C423="","",$C423+7)</f>
        <v/>
      </c>
      <c r="G423" s="28">
        <f>IF($C423="","",IF(AND($E423&lt;&gt;"Applied",$E423&lt;&gt;""),"-",IF($H423="Yes","Followed up",IF(TODAY()&gt;$F423,"Overdue by "&amp;(TODAY()-$F423)&amp;IF(TODAY()-$F423=1," day"," days"),IF(TODAY()=$F423,"Follow up today","Due in "&amp;($F423-TODAY())&amp;IF($F423-TODAY()=1," day"," days"))))))</f>
        <v/>
      </c>
      <c r="H423" s="25" t="n"/>
      <c r="I423" s="25" t="n"/>
      <c r="J423" s="25" t="n"/>
      <c r="K423" s="25" t="n"/>
    </row>
    <row r="424" ht="18" customHeight="1">
      <c r="A424" s="25" t="n"/>
      <c r="B424" s="25" t="n"/>
      <c r="C424" s="26" t="n"/>
      <c r="D424" s="25" t="n"/>
      <c r="E424" s="25" t="n"/>
      <c r="F424" s="27">
        <f>IF($C424="","",$C424+7)</f>
        <v/>
      </c>
      <c r="G424" s="28">
        <f>IF($C424="","",IF(AND($E424&lt;&gt;"Applied",$E424&lt;&gt;""),"-",IF($H424="Yes","Followed up",IF(TODAY()&gt;$F424,"Overdue by "&amp;(TODAY()-$F424)&amp;IF(TODAY()-$F424=1," day"," days"),IF(TODAY()=$F424,"Follow up today","Due in "&amp;($F424-TODAY())&amp;IF($F424-TODAY()=1," day"," days"))))))</f>
        <v/>
      </c>
      <c r="H424" s="25" t="n"/>
      <c r="I424" s="25" t="n"/>
      <c r="J424" s="25" t="n"/>
      <c r="K424" s="25" t="n"/>
    </row>
    <row r="425" ht="18" customHeight="1">
      <c r="A425" s="25" t="n"/>
      <c r="B425" s="25" t="n"/>
      <c r="C425" s="26" t="n"/>
      <c r="D425" s="25" t="n"/>
      <c r="E425" s="25" t="n"/>
      <c r="F425" s="27">
        <f>IF($C425="","",$C425+7)</f>
        <v/>
      </c>
      <c r="G425" s="28">
        <f>IF($C425="","",IF(AND($E425&lt;&gt;"Applied",$E425&lt;&gt;""),"-",IF($H425="Yes","Followed up",IF(TODAY()&gt;$F425,"Overdue by "&amp;(TODAY()-$F425)&amp;IF(TODAY()-$F425=1," day"," days"),IF(TODAY()=$F425,"Follow up today","Due in "&amp;($F425-TODAY())&amp;IF($F425-TODAY()=1," day"," days"))))))</f>
        <v/>
      </c>
      <c r="H425" s="25" t="n"/>
      <c r="I425" s="25" t="n"/>
      <c r="J425" s="25" t="n"/>
      <c r="K425" s="25" t="n"/>
    </row>
    <row r="426" ht="18" customHeight="1">
      <c r="A426" s="25" t="n"/>
      <c r="B426" s="25" t="n"/>
      <c r="C426" s="26" t="n"/>
      <c r="D426" s="25" t="n"/>
      <c r="E426" s="25" t="n"/>
      <c r="F426" s="27">
        <f>IF($C426="","",$C426+7)</f>
        <v/>
      </c>
      <c r="G426" s="28">
        <f>IF($C426="","",IF(AND($E426&lt;&gt;"Applied",$E426&lt;&gt;""),"-",IF($H426="Yes","Followed up",IF(TODAY()&gt;$F426,"Overdue by "&amp;(TODAY()-$F426)&amp;IF(TODAY()-$F426=1," day"," days"),IF(TODAY()=$F426,"Follow up today","Due in "&amp;($F426-TODAY())&amp;IF($F426-TODAY()=1," day"," days"))))))</f>
        <v/>
      </c>
      <c r="H426" s="25" t="n"/>
      <c r="I426" s="25" t="n"/>
      <c r="J426" s="25" t="n"/>
      <c r="K426" s="25" t="n"/>
    </row>
    <row r="427" ht="18" customHeight="1">
      <c r="A427" s="25" t="n"/>
      <c r="B427" s="25" t="n"/>
      <c r="C427" s="26" t="n"/>
      <c r="D427" s="25" t="n"/>
      <c r="E427" s="25" t="n"/>
      <c r="F427" s="27">
        <f>IF($C427="","",$C427+7)</f>
        <v/>
      </c>
      <c r="G427" s="28">
        <f>IF($C427="","",IF(AND($E427&lt;&gt;"Applied",$E427&lt;&gt;""),"-",IF($H427="Yes","Followed up",IF(TODAY()&gt;$F427,"Overdue by "&amp;(TODAY()-$F427)&amp;IF(TODAY()-$F427=1," day"," days"),IF(TODAY()=$F427,"Follow up today","Due in "&amp;($F427-TODAY())&amp;IF($F427-TODAY()=1," day"," days"))))))</f>
        <v/>
      </c>
      <c r="H427" s="25" t="n"/>
      <c r="I427" s="25" t="n"/>
      <c r="J427" s="25" t="n"/>
      <c r="K427" s="25" t="n"/>
    </row>
    <row r="428" ht="18" customHeight="1">
      <c r="A428" s="25" t="n"/>
      <c r="B428" s="25" t="n"/>
      <c r="C428" s="26" t="n"/>
      <c r="D428" s="25" t="n"/>
      <c r="E428" s="25" t="n"/>
      <c r="F428" s="27">
        <f>IF($C428="","",$C428+7)</f>
        <v/>
      </c>
      <c r="G428" s="28">
        <f>IF($C428="","",IF(AND($E428&lt;&gt;"Applied",$E428&lt;&gt;""),"-",IF($H428="Yes","Followed up",IF(TODAY()&gt;$F428,"Overdue by "&amp;(TODAY()-$F428)&amp;IF(TODAY()-$F428=1," day"," days"),IF(TODAY()=$F428,"Follow up today","Due in "&amp;($F428-TODAY())&amp;IF($F428-TODAY()=1," day"," days"))))))</f>
        <v/>
      </c>
      <c r="H428" s="25" t="n"/>
      <c r="I428" s="25" t="n"/>
      <c r="J428" s="25" t="n"/>
      <c r="K428" s="25" t="n"/>
    </row>
    <row r="429" ht="18" customHeight="1">
      <c r="A429" s="25" t="n"/>
      <c r="B429" s="25" t="n"/>
      <c r="C429" s="26" t="n"/>
      <c r="D429" s="25" t="n"/>
      <c r="E429" s="25" t="n"/>
      <c r="F429" s="27">
        <f>IF($C429="","",$C429+7)</f>
        <v/>
      </c>
      <c r="G429" s="28">
        <f>IF($C429="","",IF(AND($E429&lt;&gt;"Applied",$E429&lt;&gt;""),"-",IF($H429="Yes","Followed up",IF(TODAY()&gt;$F429,"Overdue by "&amp;(TODAY()-$F429)&amp;IF(TODAY()-$F429=1," day"," days"),IF(TODAY()=$F429,"Follow up today","Due in "&amp;($F429-TODAY())&amp;IF($F429-TODAY()=1," day"," days"))))))</f>
        <v/>
      </c>
      <c r="H429" s="25" t="n"/>
      <c r="I429" s="25" t="n"/>
      <c r="J429" s="25" t="n"/>
      <c r="K429" s="25" t="n"/>
    </row>
    <row r="430" ht="18" customHeight="1">
      <c r="A430" s="25" t="n"/>
      <c r="B430" s="25" t="n"/>
      <c r="C430" s="26" t="n"/>
      <c r="D430" s="25" t="n"/>
      <c r="E430" s="25" t="n"/>
      <c r="F430" s="27">
        <f>IF($C430="","",$C430+7)</f>
        <v/>
      </c>
      <c r="G430" s="28">
        <f>IF($C430="","",IF(AND($E430&lt;&gt;"Applied",$E430&lt;&gt;""),"-",IF($H430="Yes","Followed up",IF(TODAY()&gt;$F430,"Overdue by "&amp;(TODAY()-$F430)&amp;IF(TODAY()-$F430=1," day"," days"),IF(TODAY()=$F430,"Follow up today","Due in "&amp;($F430-TODAY())&amp;IF($F430-TODAY()=1," day"," days"))))))</f>
        <v/>
      </c>
      <c r="H430" s="25" t="n"/>
      <c r="I430" s="25" t="n"/>
      <c r="J430" s="25" t="n"/>
      <c r="K430" s="25" t="n"/>
    </row>
    <row r="431" ht="18" customHeight="1">
      <c r="A431" s="25" t="n"/>
      <c r="B431" s="25" t="n"/>
      <c r="C431" s="26" t="n"/>
      <c r="D431" s="25" t="n"/>
      <c r="E431" s="25" t="n"/>
      <c r="F431" s="27">
        <f>IF($C431="","",$C431+7)</f>
        <v/>
      </c>
      <c r="G431" s="28">
        <f>IF($C431="","",IF(AND($E431&lt;&gt;"Applied",$E431&lt;&gt;""),"-",IF($H431="Yes","Followed up",IF(TODAY()&gt;$F431,"Overdue by "&amp;(TODAY()-$F431)&amp;IF(TODAY()-$F431=1," day"," days"),IF(TODAY()=$F431,"Follow up today","Due in "&amp;($F431-TODAY())&amp;IF($F431-TODAY()=1," day"," days"))))))</f>
        <v/>
      </c>
      <c r="H431" s="25" t="n"/>
      <c r="I431" s="25" t="n"/>
      <c r="J431" s="25" t="n"/>
      <c r="K431" s="25" t="n"/>
    </row>
    <row r="432" ht="18" customHeight="1">
      <c r="A432" s="25" t="n"/>
      <c r="B432" s="25" t="n"/>
      <c r="C432" s="26" t="n"/>
      <c r="D432" s="25" t="n"/>
      <c r="E432" s="25" t="n"/>
      <c r="F432" s="27">
        <f>IF($C432="","",$C432+7)</f>
        <v/>
      </c>
      <c r="G432" s="28">
        <f>IF($C432="","",IF(AND($E432&lt;&gt;"Applied",$E432&lt;&gt;""),"-",IF($H432="Yes","Followed up",IF(TODAY()&gt;$F432,"Overdue by "&amp;(TODAY()-$F432)&amp;IF(TODAY()-$F432=1," day"," days"),IF(TODAY()=$F432,"Follow up today","Due in "&amp;($F432-TODAY())&amp;IF($F432-TODAY()=1," day"," days"))))))</f>
        <v/>
      </c>
      <c r="H432" s="25" t="n"/>
      <c r="I432" s="25" t="n"/>
      <c r="J432" s="25" t="n"/>
      <c r="K432" s="25" t="n"/>
    </row>
    <row r="433" ht="18" customHeight="1">
      <c r="A433" s="25" t="n"/>
      <c r="B433" s="25" t="n"/>
      <c r="C433" s="26" t="n"/>
      <c r="D433" s="25" t="n"/>
      <c r="E433" s="25" t="n"/>
      <c r="F433" s="27">
        <f>IF($C433="","",$C433+7)</f>
        <v/>
      </c>
      <c r="G433" s="28">
        <f>IF($C433="","",IF(AND($E433&lt;&gt;"Applied",$E433&lt;&gt;""),"-",IF($H433="Yes","Followed up",IF(TODAY()&gt;$F433,"Overdue by "&amp;(TODAY()-$F433)&amp;IF(TODAY()-$F433=1," day"," days"),IF(TODAY()=$F433,"Follow up today","Due in "&amp;($F433-TODAY())&amp;IF($F433-TODAY()=1," day"," days"))))))</f>
        <v/>
      </c>
      <c r="H433" s="25" t="n"/>
      <c r="I433" s="25" t="n"/>
      <c r="J433" s="25" t="n"/>
      <c r="K433" s="25" t="n"/>
    </row>
    <row r="434" ht="18" customHeight="1">
      <c r="A434" s="25" t="n"/>
      <c r="B434" s="25" t="n"/>
      <c r="C434" s="26" t="n"/>
      <c r="D434" s="25" t="n"/>
      <c r="E434" s="25" t="n"/>
      <c r="F434" s="27">
        <f>IF($C434="","",$C434+7)</f>
        <v/>
      </c>
      <c r="G434" s="28">
        <f>IF($C434="","",IF(AND($E434&lt;&gt;"Applied",$E434&lt;&gt;""),"-",IF($H434="Yes","Followed up",IF(TODAY()&gt;$F434,"Overdue by "&amp;(TODAY()-$F434)&amp;IF(TODAY()-$F434=1," day"," days"),IF(TODAY()=$F434,"Follow up today","Due in "&amp;($F434-TODAY())&amp;IF($F434-TODAY()=1," day"," days"))))))</f>
        <v/>
      </c>
      <c r="H434" s="25" t="n"/>
      <c r="I434" s="25" t="n"/>
      <c r="J434" s="25" t="n"/>
      <c r="K434" s="25" t="n"/>
    </row>
    <row r="435" ht="18" customHeight="1">
      <c r="A435" s="25" t="n"/>
      <c r="B435" s="25" t="n"/>
      <c r="C435" s="26" t="n"/>
      <c r="D435" s="25" t="n"/>
      <c r="E435" s="25" t="n"/>
      <c r="F435" s="27">
        <f>IF($C435="","",$C435+7)</f>
        <v/>
      </c>
      <c r="G435" s="28">
        <f>IF($C435="","",IF(AND($E435&lt;&gt;"Applied",$E435&lt;&gt;""),"-",IF($H435="Yes","Followed up",IF(TODAY()&gt;$F435,"Overdue by "&amp;(TODAY()-$F435)&amp;IF(TODAY()-$F435=1," day"," days"),IF(TODAY()=$F435,"Follow up today","Due in "&amp;($F435-TODAY())&amp;IF($F435-TODAY()=1," day"," days"))))))</f>
        <v/>
      </c>
      <c r="H435" s="25" t="n"/>
      <c r="I435" s="25" t="n"/>
      <c r="J435" s="25" t="n"/>
      <c r="K435" s="25" t="n"/>
    </row>
    <row r="436" ht="18" customHeight="1">
      <c r="A436" s="25" t="n"/>
      <c r="B436" s="25" t="n"/>
      <c r="C436" s="26" t="n"/>
      <c r="D436" s="25" t="n"/>
      <c r="E436" s="25" t="n"/>
      <c r="F436" s="27">
        <f>IF($C436="","",$C436+7)</f>
        <v/>
      </c>
      <c r="G436" s="28">
        <f>IF($C436="","",IF(AND($E436&lt;&gt;"Applied",$E436&lt;&gt;""),"-",IF($H436="Yes","Followed up",IF(TODAY()&gt;$F436,"Overdue by "&amp;(TODAY()-$F436)&amp;IF(TODAY()-$F436=1," day"," days"),IF(TODAY()=$F436,"Follow up today","Due in "&amp;($F436-TODAY())&amp;IF($F436-TODAY()=1," day"," days"))))))</f>
        <v/>
      </c>
      <c r="H436" s="25" t="n"/>
      <c r="I436" s="25" t="n"/>
      <c r="J436" s="25" t="n"/>
      <c r="K436" s="25" t="n"/>
    </row>
    <row r="437" ht="18" customHeight="1">
      <c r="A437" s="25" t="n"/>
      <c r="B437" s="25" t="n"/>
      <c r="C437" s="26" t="n"/>
      <c r="D437" s="25" t="n"/>
      <c r="E437" s="25" t="n"/>
      <c r="F437" s="27">
        <f>IF($C437="","",$C437+7)</f>
        <v/>
      </c>
      <c r="G437" s="28">
        <f>IF($C437="","",IF(AND($E437&lt;&gt;"Applied",$E437&lt;&gt;""),"-",IF($H437="Yes","Followed up",IF(TODAY()&gt;$F437,"Overdue by "&amp;(TODAY()-$F437)&amp;IF(TODAY()-$F437=1," day"," days"),IF(TODAY()=$F437,"Follow up today","Due in "&amp;($F437-TODAY())&amp;IF($F437-TODAY()=1," day"," days"))))))</f>
        <v/>
      </c>
      <c r="H437" s="25" t="n"/>
      <c r="I437" s="25" t="n"/>
      <c r="J437" s="25" t="n"/>
      <c r="K437" s="25" t="n"/>
    </row>
    <row r="438" ht="18" customHeight="1">
      <c r="A438" s="25" t="n"/>
      <c r="B438" s="25" t="n"/>
      <c r="C438" s="26" t="n"/>
      <c r="D438" s="25" t="n"/>
      <c r="E438" s="25" t="n"/>
      <c r="F438" s="27">
        <f>IF($C438="","",$C438+7)</f>
        <v/>
      </c>
      <c r="G438" s="28">
        <f>IF($C438="","",IF(AND($E438&lt;&gt;"Applied",$E438&lt;&gt;""),"-",IF($H438="Yes","Followed up",IF(TODAY()&gt;$F438,"Overdue by "&amp;(TODAY()-$F438)&amp;IF(TODAY()-$F438=1," day"," days"),IF(TODAY()=$F438,"Follow up today","Due in "&amp;($F438-TODAY())&amp;IF($F438-TODAY()=1," day"," days"))))))</f>
        <v/>
      </c>
      <c r="H438" s="25" t="n"/>
      <c r="I438" s="25" t="n"/>
      <c r="J438" s="25" t="n"/>
      <c r="K438" s="25" t="n"/>
    </row>
    <row r="439" ht="18" customHeight="1">
      <c r="A439" s="25" t="n"/>
      <c r="B439" s="25" t="n"/>
      <c r="C439" s="26" t="n"/>
      <c r="D439" s="25" t="n"/>
      <c r="E439" s="25" t="n"/>
      <c r="F439" s="27">
        <f>IF($C439="","",$C439+7)</f>
        <v/>
      </c>
      <c r="G439" s="28">
        <f>IF($C439="","",IF(AND($E439&lt;&gt;"Applied",$E439&lt;&gt;""),"-",IF($H439="Yes","Followed up",IF(TODAY()&gt;$F439,"Overdue by "&amp;(TODAY()-$F439)&amp;IF(TODAY()-$F439=1," day"," days"),IF(TODAY()=$F439,"Follow up today","Due in "&amp;($F439-TODAY())&amp;IF($F439-TODAY()=1," day"," days"))))))</f>
        <v/>
      </c>
      <c r="H439" s="25" t="n"/>
      <c r="I439" s="25" t="n"/>
      <c r="J439" s="25" t="n"/>
      <c r="K439" s="25" t="n"/>
    </row>
    <row r="440" ht="18" customHeight="1">
      <c r="A440" s="25" t="n"/>
      <c r="B440" s="25" t="n"/>
      <c r="C440" s="26" t="n"/>
      <c r="D440" s="25" t="n"/>
      <c r="E440" s="25" t="n"/>
      <c r="F440" s="27">
        <f>IF($C440="","",$C440+7)</f>
        <v/>
      </c>
      <c r="G440" s="28">
        <f>IF($C440="","",IF(AND($E440&lt;&gt;"Applied",$E440&lt;&gt;""),"-",IF($H440="Yes","Followed up",IF(TODAY()&gt;$F440,"Overdue by "&amp;(TODAY()-$F440)&amp;IF(TODAY()-$F440=1," day"," days"),IF(TODAY()=$F440,"Follow up today","Due in "&amp;($F440-TODAY())&amp;IF($F440-TODAY()=1," day"," days"))))))</f>
        <v/>
      </c>
      <c r="H440" s="25" t="n"/>
      <c r="I440" s="25" t="n"/>
      <c r="J440" s="25" t="n"/>
      <c r="K440" s="25" t="n"/>
    </row>
    <row r="441" ht="18" customHeight="1">
      <c r="A441" s="25" t="n"/>
      <c r="B441" s="25" t="n"/>
      <c r="C441" s="26" t="n"/>
      <c r="D441" s="25" t="n"/>
      <c r="E441" s="25" t="n"/>
      <c r="F441" s="27">
        <f>IF($C441="","",$C441+7)</f>
        <v/>
      </c>
      <c r="G441" s="28">
        <f>IF($C441="","",IF(AND($E441&lt;&gt;"Applied",$E441&lt;&gt;""),"-",IF($H441="Yes","Followed up",IF(TODAY()&gt;$F441,"Overdue by "&amp;(TODAY()-$F441)&amp;IF(TODAY()-$F441=1," day"," days"),IF(TODAY()=$F441,"Follow up today","Due in "&amp;($F441-TODAY())&amp;IF($F441-TODAY()=1," day"," days"))))))</f>
        <v/>
      </c>
      <c r="H441" s="25" t="n"/>
      <c r="I441" s="25" t="n"/>
      <c r="J441" s="25" t="n"/>
      <c r="K441" s="25" t="n"/>
    </row>
    <row r="442" ht="18" customHeight="1">
      <c r="A442" s="25" t="n"/>
      <c r="B442" s="25" t="n"/>
      <c r="C442" s="26" t="n"/>
      <c r="D442" s="25" t="n"/>
      <c r="E442" s="25" t="n"/>
      <c r="F442" s="27">
        <f>IF($C442="","",$C442+7)</f>
        <v/>
      </c>
      <c r="G442" s="28">
        <f>IF($C442="","",IF(AND($E442&lt;&gt;"Applied",$E442&lt;&gt;""),"-",IF($H442="Yes","Followed up",IF(TODAY()&gt;$F442,"Overdue by "&amp;(TODAY()-$F442)&amp;IF(TODAY()-$F442=1," day"," days"),IF(TODAY()=$F442,"Follow up today","Due in "&amp;($F442-TODAY())&amp;IF($F442-TODAY()=1," day"," days"))))))</f>
        <v/>
      </c>
      <c r="H442" s="25" t="n"/>
      <c r="I442" s="25" t="n"/>
      <c r="J442" s="25" t="n"/>
      <c r="K442" s="25" t="n"/>
    </row>
    <row r="443" ht="18" customHeight="1">
      <c r="A443" s="25" t="n"/>
      <c r="B443" s="25" t="n"/>
      <c r="C443" s="26" t="n"/>
      <c r="D443" s="25" t="n"/>
      <c r="E443" s="25" t="n"/>
      <c r="F443" s="27">
        <f>IF($C443="","",$C443+7)</f>
        <v/>
      </c>
      <c r="G443" s="28">
        <f>IF($C443="","",IF(AND($E443&lt;&gt;"Applied",$E443&lt;&gt;""),"-",IF($H443="Yes","Followed up",IF(TODAY()&gt;$F443,"Overdue by "&amp;(TODAY()-$F443)&amp;IF(TODAY()-$F443=1," day"," days"),IF(TODAY()=$F443,"Follow up today","Due in "&amp;($F443-TODAY())&amp;IF($F443-TODAY()=1," day"," days"))))))</f>
        <v/>
      </c>
      <c r="H443" s="25" t="n"/>
      <c r="I443" s="25" t="n"/>
      <c r="J443" s="25" t="n"/>
      <c r="K443" s="25" t="n"/>
    </row>
    <row r="444" ht="18" customHeight="1">
      <c r="A444" s="25" t="n"/>
      <c r="B444" s="25" t="n"/>
      <c r="C444" s="26" t="n"/>
      <c r="D444" s="25" t="n"/>
      <c r="E444" s="25" t="n"/>
      <c r="F444" s="27">
        <f>IF($C444="","",$C444+7)</f>
        <v/>
      </c>
      <c r="G444" s="28">
        <f>IF($C444="","",IF(AND($E444&lt;&gt;"Applied",$E444&lt;&gt;""),"-",IF($H444="Yes","Followed up",IF(TODAY()&gt;$F444,"Overdue by "&amp;(TODAY()-$F444)&amp;IF(TODAY()-$F444=1," day"," days"),IF(TODAY()=$F444,"Follow up today","Due in "&amp;($F444-TODAY())&amp;IF($F444-TODAY()=1," day"," days"))))))</f>
        <v/>
      </c>
      <c r="H444" s="25" t="n"/>
      <c r="I444" s="25" t="n"/>
      <c r="J444" s="25" t="n"/>
      <c r="K444" s="25" t="n"/>
    </row>
    <row r="445" ht="18" customHeight="1">
      <c r="A445" s="25" t="n"/>
      <c r="B445" s="25" t="n"/>
      <c r="C445" s="26" t="n"/>
      <c r="D445" s="25" t="n"/>
      <c r="E445" s="25" t="n"/>
      <c r="F445" s="27">
        <f>IF($C445="","",$C445+7)</f>
        <v/>
      </c>
      <c r="G445" s="28">
        <f>IF($C445="","",IF(AND($E445&lt;&gt;"Applied",$E445&lt;&gt;""),"-",IF($H445="Yes","Followed up",IF(TODAY()&gt;$F445,"Overdue by "&amp;(TODAY()-$F445)&amp;IF(TODAY()-$F445=1," day"," days"),IF(TODAY()=$F445,"Follow up today","Due in "&amp;($F445-TODAY())&amp;IF($F445-TODAY()=1," day"," days"))))))</f>
        <v/>
      </c>
      <c r="H445" s="25" t="n"/>
      <c r="I445" s="25" t="n"/>
      <c r="J445" s="25" t="n"/>
      <c r="K445" s="25" t="n"/>
    </row>
    <row r="446" ht="18" customHeight="1">
      <c r="A446" s="25" t="n"/>
      <c r="B446" s="25" t="n"/>
      <c r="C446" s="26" t="n"/>
      <c r="D446" s="25" t="n"/>
      <c r="E446" s="25" t="n"/>
      <c r="F446" s="27">
        <f>IF($C446="","",$C446+7)</f>
        <v/>
      </c>
      <c r="G446" s="28">
        <f>IF($C446="","",IF(AND($E446&lt;&gt;"Applied",$E446&lt;&gt;""),"-",IF($H446="Yes","Followed up",IF(TODAY()&gt;$F446,"Overdue by "&amp;(TODAY()-$F446)&amp;IF(TODAY()-$F446=1," day"," days"),IF(TODAY()=$F446,"Follow up today","Due in "&amp;($F446-TODAY())&amp;IF($F446-TODAY()=1," day"," days"))))))</f>
        <v/>
      </c>
      <c r="H446" s="25" t="n"/>
      <c r="I446" s="25" t="n"/>
      <c r="J446" s="25" t="n"/>
      <c r="K446" s="25" t="n"/>
    </row>
    <row r="447" ht="18" customHeight="1">
      <c r="A447" s="25" t="n"/>
      <c r="B447" s="25" t="n"/>
      <c r="C447" s="26" t="n"/>
      <c r="D447" s="25" t="n"/>
      <c r="E447" s="25" t="n"/>
      <c r="F447" s="27">
        <f>IF($C447="","",$C447+7)</f>
        <v/>
      </c>
      <c r="G447" s="28">
        <f>IF($C447="","",IF(AND($E447&lt;&gt;"Applied",$E447&lt;&gt;""),"-",IF($H447="Yes","Followed up",IF(TODAY()&gt;$F447,"Overdue by "&amp;(TODAY()-$F447)&amp;IF(TODAY()-$F447=1," day"," days"),IF(TODAY()=$F447,"Follow up today","Due in "&amp;($F447-TODAY())&amp;IF($F447-TODAY()=1," day"," days"))))))</f>
        <v/>
      </c>
      <c r="H447" s="25" t="n"/>
      <c r="I447" s="25" t="n"/>
      <c r="J447" s="25" t="n"/>
      <c r="K447" s="25" t="n"/>
    </row>
    <row r="448" ht="18" customHeight="1">
      <c r="A448" s="25" t="n"/>
      <c r="B448" s="25" t="n"/>
      <c r="C448" s="26" t="n"/>
      <c r="D448" s="25" t="n"/>
      <c r="E448" s="25" t="n"/>
      <c r="F448" s="27">
        <f>IF($C448="","",$C448+7)</f>
        <v/>
      </c>
      <c r="G448" s="28">
        <f>IF($C448="","",IF(AND($E448&lt;&gt;"Applied",$E448&lt;&gt;""),"-",IF($H448="Yes","Followed up",IF(TODAY()&gt;$F448,"Overdue by "&amp;(TODAY()-$F448)&amp;IF(TODAY()-$F448=1," day"," days"),IF(TODAY()=$F448,"Follow up today","Due in "&amp;($F448-TODAY())&amp;IF($F448-TODAY()=1," day"," days"))))))</f>
        <v/>
      </c>
      <c r="H448" s="25" t="n"/>
      <c r="I448" s="25" t="n"/>
      <c r="J448" s="25" t="n"/>
      <c r="K448" s="25" t="n"/>
    </row>
    <row r="449" ht="18" customHeight="1">
      <c r="A449" s="25" t="n"/>
      <c r="B449" s="25" t="n"/>
      <c r="C449" s="26" t="n"/>
      <c r="D449" s="25" t="n"/>
      <c r="E449" s="25" t="n"/>
      <c r="F449" s="27">
        <f>IF($C449="","",$C449+7)</f>
        <v/>
      </c>
      <c r="G449" s="28">
        <f>IF($C449="","",IF(AND($E449&lt;&gt;"Applied",$E449&lt;&gt;""),"-",IF($H449="Yes","Followed up",IF(TODAY()&gt;$F449,"Overdue by "&amp;(TODAY()-$F449)&amp;IF(TODAY()-$F449=1," day"," days"),IF(TODAY()=$F449,"Follow up today","Due in "&amp;($F449-TODAY())&amp;IF($F449-TODAY()=1," day"," days"))))))</f>
        <v/>
      </c>
      <c r="H449" s="25" t="n"/>
      <c r="I449" s="25" t="n"/>
      <c r="J449" s="25" t="n"/>
      <c r="K449" s="25" t="n"/>
    </row>
    <row r="450" ht="18" customHeight="1">
      <c r="A450" s="25" t="n"/>
      <c r="B450" s="25" t="n"/>
      <c r="C450" s="26" t="n"/>
      <c r="D450" s="25" t="n"/>
      <c r="E450" s="25" t="n"/>
      <c r="F450" s="27">
        <f>IF($C450="","",$C450+7)</f>
        <v/>
      </c>
      <c r="G450" s="28">
        <f>IF($C450="","",IF(AND($E450&lt;&gt;"Applied",$E450&lt;&gt;""),"-",IF($H450="Yes","Followed up",IF(TODAY()&gt;$F450,"Overdue by "&amp;(TODAY()-$F450)&amp;IF(TODAY()-$F450=1," day"," days"),IF(TODAY()=$F450,"Follow up today","Due in "&amp;($F450-TODAY())&amp;IF($F450-TODAY()=1," day"," days"))))))</f>
        <v/>
      </c>
      <c r="H450" s="25" t="n"/>
      <c r="I450" s="25" t="n"/>
      <c r="J450" s="25" t="n"/>
      <c r="K450" s="25" t="n"/>
    </row>
    <row r="451" ht="18" customHeight="1">
      <c r="A451" s="25" t="n"/>
      <c r="B451" s="25" t="n"/>
      <c r="C451" s="26" t="n"/>
      <c r="D451" s="25" t="n"/>
      <c r="E451" s="25" t="n"/>
      <c r="F451" s="27">
        <f>IF($C451="","",$C451+7)</f>
        <v/>
      </c>
      <c r="G451" s="28">
        <f>IF($C451="","",IF(AND($E451&lt;&gt;"Applied",$E451&lt;&gt;""),"-",IF($H451="Yes","Followed up",IF(TODAY()&gt;$F451,"Overdue by "&amp;(TODAY()-$F451)&amp;IF(TODAY()-$F451=1," day"," days"),IF(TODAY()=$F451,"Follow up today","Due in "&amp;($F451-TODAY())&amp;IF($F451-TODAY()=1," day"," days"))))))</f>
        <v/>
      </c>
      <c r="H451" s="25" t="n"/>
      <c r="I451" s="25" t="n"/>
      <c r="J451" s="25" t="n"/>
      <c r="K451" s="25" t="n"/>
    </row>
    <row r="452" ht="18" customHeight="1">
      <c r="A452" s="25" t="n"/>
      <c r="B452" s="25" t="n"/>
      <c r="C452" s="26" t="n"/>
      <c r="D452" s="25" t="n"/>
      <c r="E452" s="25" t="n"/>
      <c r="F452" s="27">
        <f>IF($C452="","",$C452+7)</f>
        <v/>
      </c>
      <c r="G452" s="28">
        <f>IF($C452="","",IF(AND($E452&lt;&gt;"Applied",$E452&lt;&gt;""),"-",IF($H452="Yes","Followed up",IF(TODAY()&gt;$F452,"Overdue by "&amp;(TODAY()-$F452)&amp;IF(TODAY()-$F452=1," day"," days"),IF(TODAY()=$F452,"Follow up today","Due in "&amp;($F452-TODAY())&amp;IF($F452-TODAY()=1," day"," days"))))))</f>
        <v/>
      </c>
      <c r="H452" s="25" t="n"/>
      <c r="I452" s="25" t="n"/>
      <c r="J452" s="25" t="n"/>
      <c r="K452" s="25" t="n"/>
    </row>
    <row r="453" ht="18" customHeight="1">
      <c r="A453" s="25" t="n"/>
      <c r="B453" s="25" t="n"/>
      <c r="C453" s="26" t="n"/>
      <c r="D453" s="25" t="n"/>
      <c r="E453" s="25" t="n"/>
      <c r="F453" s="27">
        <f>IF($C453="","",$C453+7)</f>
        <v/>
      </c>
      <c r="G453" s="28">
        <f>IF($C453="","",IF(AND($E453&lt;&gt;"Applied",$E453&lt;&gt;""),"-",IF($H453="Yes","Followed up",IF(TODAY()&gt;$F453,"Overdue by "&amp;(TODAY()-$F453)&amp;IF(TODAY()-$F453=1," day"," days"),IF(TODAY()=$F453,"Follow up today","Due in "&amp;($F453-TODAY())&amp;IF($F453-TODAY()=1," day"," days"))))))</f>
        <v/>
      </c>
      <c r="H453" s="25" t="n"/>
      <c r="I453" s="25" t="n"/>
      <c r="J453" s="25" t="n"/>
      <c r="K453" s="25" t="n"/>
    </row>
    <row r="454" ht="18" customHeight="1">
      <c r="A454" s="25" t="n"/>
      <c r="B454" s="25" t="n"/>
      <c r="C454" s="26" t="n"/>
      <c r="D454" s="25" t="n"/>
      <c r="E454" s="25" t="n"/>
      <c r="F454" s="27">
        <f>IF($C454="","",$C454+7)</f>
        <v/>
      </c>
      <c r="G454" s="28">
        <f>IF($C454="","",IF(AND($E454&lt;&gt;"Applied",$E454&lt;&gt;""),"-",IF($H454="Yes","Followed up",IF(TODAY()&gt;$F454,"Overdue by "&amp;(TODAY()-$F454)&amp;IF(TODAY()-$F454=1," day"," days"),IF(TODAY()=$F454,"Follow up today","Due in "&amp;($F454-TODAY())&amp;IF($F454-TODAY()=1," day"," days"))))))</f>
        <v/>
      </c>
      <c r="H454" s="25" t="n"/>
      <c r="I454" s="25" t="n"/>
      <c r="J454" s="25" t="n"/>
      <c r="K454" s="25" t="n"/>
    </row>
    <row r="455" ht="18" customHeight="1">
      <c r="A455" s="25" t="n"/>
      <c r="B455" s="25" t="n"/>
      <c r="C455" s="26" t="n"/>
      <c r="D455" s="25" t="n"/>
      <c r="E455" s="25" t="n"/>
      <c r="F455" s="27">
        <f>IF($C455="","",$C455+7)</f>
        <v/>
      </c>
      <c r="G455" s="28">
        <f>IF($C455="","",IF(AND($E455&lt;&gt;"Applied",$E455&lt;&gt;""),"-",IF($H455="Yes","Followed up",IF(TODAY()&gt;$F455,"Overdue by "&amp;(TODAY()-$F455)&amp;IF(TODAY()-$F455=1," day"," days"),IF(TODAY()=$F455,"Follow up today","Due in "&amp;($F455-TODAY())&amp;IF($F455-TODAY()=1," day"," days"))))))</f>
        <v/>
      </c>
      <c r="H455" s="25" t="n"/>
      <c r="I455" s="25" t="n"/>
      <c r="J455" s="25" t="n"/>
      <c r="K455" s="25" t="n"/>
    </row>
    <row r="456" ht="18" customHeight="1">
      <c r="A456" s="25" t="n"/>
      <c r="B456" s="25" t="n"/>
      <c r="C456" s="26" t="n"/>
      <c r="D456" s="25" t="n"/>
      <c r="E456" s="25" t="n"/>
      <c r="F456" s="27">
        <f>IF($C456="","",$C456+7)</f>
        <v/>
      </c>
      <c r="G456" s="28">
        <f>IF($C456="","",IF(AND($E456&lt;&gt;"Applied",$E456&lt;&gt;""),"-",IF($H456="Yes","Followed up",IF(TODAY()&gt;$F456,"Overdue by "&amp;(TODAY()-$F456)&amp;IF(TODAY()-$F456=1," day"," days"),IF(TODAY()=$F456,"Follow up today","Due in "&amp;($F456-TODAY())&amp;IF($F456-TODAY()=1," day"," days"))))))</f>
        <v/>
      </c>
      <c r="H456" s="25" t="n"/>
      <c r="I456" s="25" t="n"/>
      <c r="J456" s="25" t="n"/>
      <c r="K456" s="25" t="n"/>
    </row>
    <row r="457" ht="18" customHeight="1">
      <c r="A457" s="25" t="n"/>
      <c r="B457" s="25" t="n"/>
      <c r="C457" s="26" t="n"/>
      <c r="D457" s="25" t="n"/>
      <c r="E457" s="25" t="n"/>
      <c r="F457" s="27">
        <f>IF($C457="","",$C457+7)</f>
        <v/>
      </c>
      <c r="G457" s="28">
        <f>IF($C457="","",IF(AND($E457&lt;&gt;"Applied",$E457&lt;&gt;""),"-",IF($H457="Yes","Followed up",IF(TODAY()&gt;$F457,"Overdue by "&amp;(TODAY()-$F457)&amp;IF(TODAY()-$F457=1," day"," days"),IF(TODAY()=$F457,"Follow up today","Due in "&amp;($F457-TODAY())&amp;IF($F457-TODAY()=1," day"," days"))))))</f>
        <v/>
      </c>
      <c r="H457" s="25" t="n"/>
      <c r="I457" s="25" t="n"/>
      <c r="J457" s="25" t="n"/>
      <c r="K457" s="25" t="n"/>
    </row>
    <row r="458" ht="18" customHeight="1">
      <c r="A458" s="25" t="n"/>
      <c r="B458" s="25" t="n"/>
      <c r="C458" s="26" t="n"/>
      <c r="D458" s="25" t="n"/>
      <c r="E458" s="25" t="n"/>
      <c r="F458" s="27">
        <f>IF($C458="","",$C458+7)</f>
        <v/>
      </c>
      <c r="G458" s="28">
        <f>IF($C458="","",IF(AND($E458&lt;&gt;"Applied",$E458&lt;&gt;""),"-",IF($H458="Yes","Followed up",IF(TODAY()&gt;$F458,"Overdue by "&amp;(TODAY()-$F458)&amp;IF(TODAY()-$F458=1," day"," days"),IF(TODAY()=$F458,"Follow up today","Due in "&amp;($F458-TODAY())&amp;IF($F458-TODAY()=1," day"," days"))))))</f>
        <v/>
      </c>
      <c r="H458" s="25" t="n"/>
      <c r="I458" s="25" t="n"/>
      <c r="J458" s="25" t="n"/>
      <c r="K458" s="25" t="n"/>
    </row>
    <row r="459" ht="18" customHeight="1">
      <c r="A459" s="25" t="n"/>
      <c r="B459" s="25" t="n"/>
      <c r="C459" s="26" t="n"/>
      <c r="D459" s="25" t="n"/>
      <c r="E459" s="25" t="n"/>
      <c r="F459" s="27">
        <f>IF($C459="","",$C459+7)</f>
        <v/>
      </c>
      <c r="G459" s="28">
        <f>IF($C459="","",IF(AND($E459&lt;&gt;"Applied",$E459&lt;&gt;""),"-",IF($H459="Yes","Followed up",IF(TODAY()&gt;$F459,"Overdue by "&amp;(TODAY()-$F459)&amp;IF(TODAY()-$F459=1," day"," days"),IF(TODAY()=$F459,"Follow up today","Due in "&amp;($F459-TODAY())&amp;IF($F459-TODAY()=1," day"," days"))))))</f>
        <v/>
      </c>
      <c r="H459" s="25" t="n"/>
      <c r="I459" s="25" t="n"/>
      <c r="J459" s="25" t="n"/>
      <c r="K459" s="25" t="n"/>
    </row>
    <row r="460" ht="18" customHeight="1">
      <c r="A460" s="25" t="n"/>
      <c r="B460" s="25" t="n"/>
      <c r="C460" s="26" t="n"/>
      <c r="D460" s="25" t="n"/>
      <c r="E460" s="25" t="n"/>
      <c r="F460" s="27">
        <f>IF($C460="","",$C460+7)</f>
        <v/>
      </c>
      <c r="G460" s="28">
        <f>IF($C460="","",IF(AND($E460&lt;&gt;"Applied",$E460&lt;&gt;""),"-",IF($H460="Yes","Followed up",IF(TODAY()&gt;$F460,"Overdue by "&amp;(TODAY()-$F460)&amp;IF(TODAY()-$F460=1," day"," days"),IF(TODAY()=$F460,"Follow up today","Due in "&amp;($F460-TODAY())&amp;IF($F460-TODAY()=1," day"," days"))))))</f>
        <v/>
      </c>
      <c r="H460" s="25" t="n"/>
      <c r="I460" s="25" t="n"/>
      <c r="J460" s="25" t="n"/>
      <c r="K460" s="25" t="n"/>
    </row>
    <row r="461" ht="18" customHeight="1">
      <c r="A461" s="25" t="n"/>
      <c r="B461" s="25" t="n"/>
      <c r="C461" s="26" t="n"/>
      <c r="D461" s="25" t="n"/>
      <c r="E461" s="25" t="n"/>
      <c r="F461" s="27">
        <f>IF($C461="","",$C461+7)</f>
        <v/>
      </c>
      <c r="G461" s="28">
        <f>IF($C461="","",IF(AND($E461&lt;&gt;"Applied",$E461&lt;&gt;""),"-",IF($H461="Yes","Followed up",IF(TODAY()&gt;$F461,"Overdue by "&amp;(TODAY()-$F461)&amp;IF(TODAY()-$F461=1," day"," days"),IF(TODAY()=$F461,"Follow up today","Due in "&amp;($F461-TODAY())&amp;IF($F461-TODAY()=1," day"," days"))))))</f>
        <v/>
      </c>
      <c r="H461" s="25" t="n"/>
      <c r="I461" s="25" t="n"/>
      <c r="J461" s="25" t="n"/>
      <c r="K461" s="25" t="n"/>
    </row>
    <row r="462" ht="18" customHeight="1">
      <c r="A462" s="25" t="n"/>
      <c r="B462" s="25" t="n"/>
      <c r="C462" s="26" t="n"/>
      <c r="D462" s="25" t="n"/>
      <c r="E462" s="25" t="n"/>
      <c r="F462" s="27">
        <f>IF($C462="","",$C462+7)</f>
        <v/>
      </c>
      <c r="G462" s="28">
        <f>IF($C462="","",IF(AND($E462&lt;&gt;"Applied",$E462&lt;&gt;""),"-",IF($H462="Yes","Followed up",IF(TODAY()&gt;$F462,"Overdue by "&amp;(TODAY()-$F462)&amp;IF(TODAY()-$F462=1," day"," days"),IF(TODAY()=$F462,"Follow up today","Due in "&amp;($F462-TODAY())&amp;IF($F462-TODAY()=1," day"," days"))))))</f>
        <v/>
      </c>
      <c r="H462" s="25" t="n"/>
      <c r="I462" s="25" t="n"/>
      <c r="J462" s="25" t="n"/>
      <c r="K462" s="25" t="n"/>
    </row>
    <row r="463" ht="18" customHeight="1">
      <c r="A463" s="25" t="n"/>
      <c r="B463" s="25" t="n"/>
      <c r="C463" s="26" t="n"/>
      <c r="D463" s="25" t="n"/>
      <c r="E463" s="25" t="n"/>
      <c r="F463" s="27">
        <f>IF($C463="","",$C463+7)</f>
        <v/>
      </c>
      <c r="G463" s="28">
        <f>IF($C463="","",IF(AND($E463&lt;&gt;"Applied",$E463&lt;&gt;""),"-",IF($H463="Yes","Followed up",IF(TODAY()&gt;$F463,"Overdue by "&amp;(TODAY()-$F463)&amp;IF(TODAY()-$F463=1," day"," days"),IF(TODAY()=$F463,"Follow up today","Due in "&amp;($F463-TODAY())&amp;IF($F463-TODAY()=1," day"," days"))))))</f>
        <v/>
      </c>
      <c r="H463" s="25" t="n"/>
      <c r="I463" s="25" t="n"/>
      <c r="J463" s="25" t="n"/>
      <c r="K463" s="25" t="n"/>
    </row>
    <row r="464" ht="18" customHeight="1">
      <c r="A464" s="25" t="n"/>
      <c r="B464" s="25" t="n"/>
      <c r="C464" s="26" t="n"/>
      <c r="D464" s="25" t="n"/>
      <c r="E464" s="25" t="n"/>
      <c r="F464" s="27">
        <f>IF($C464="","",$C464+7)</f>
        <v/>
      </c>
      <c r="G464" s="28">
        <f>IF($C464="","",IF(AND($E464&lt;&gt;"Applied",$E464&lt;&gt;""),"-",IF($H464="Yes","Followed up",IF(TODAY()&gt;$F464,"Overdue by "&amp;(TODAY()-$F464)&amp;IF(TODAY()-$F464=1," day"," days"),IF(TODAY()=$F464,"Follow up today","Due in "&amp;($F464-TODAY())&amp;IF($F464-TODAY()=1," day"," days"))))))</f>
        <v/>
      </c>
      <c r="H464" s="25" t="n"/>
      <c r="I464" s="25" t="n"/>
      <c r="J464" s="25" t="n"/>
      <c r="K464" s="25" t="n"/>
    </row>
    <row r="465" ht="18" customHeight="1">
      <c r="A465" s="25" t="n"/>
      <c r="B465" s="25" t="n"/>
      <c r="C465" s="26" t="n"/>
      <c r="D465" s="25" t="n"/>
      <c r="E465" s="25" t="n"/>
      <c r="F465" s="27">
        <f>IF($C465="","",$C465+7)</f>
        <v/>
      </c>
      <c r="G465" s="28">
        <f>IF($C465="","",IF(AND($E465&lt;&gt;"Applied",$E465&lt;&gt;""),"-",IF($H465="Yes","Followed up",IF(TODAY()&gt;$F465,"Overdue by "&amp;(TODAY()-$F465)&amp;IF(TODAY()-$F465=1," day"," days"),IF(TODAY()=$F465,"Follow up today","Due in "&amp;($F465-TODAY())&amp;IF($F465-TODAY()=1," day"," days"))))))</f>
        <v/>
      </c>
      <c r="H465" s="25" t="n"/>
      <c r="I465" s="25" t="n"/>
      <c r="J465" s="25" t="n"/>
      <c r="K465" s="25" t="n"/>
    </row>
    <row r="466" ht="18" customHeight="1">
      <c r="A466" s="25" t="n"/>
      <c r="B466" s="25" t="n"/>
      <c r="C466" s="26" t="n"/>
      <c r="D466" s="25" t="n"/>
      <c r="E466" s="25" t="n"/>
      <c r="F466" s="27">
        <f>IF($C466="","",$C466+7)</f>
        <v/>
      </c>
      <c r="G466" s="28">
        <f>IF($C466="","",IF(AND($E466&lt;&gt;"Applied",$E466&lt;&gt;""),"-",IF($H466="Yes","Followed up",IF(TODAY()&gt;$F466,"Overdue by "&amp;(TODAY()-$F466)&amp;IF(TODAY()-$F466=1," day"," days"),IF(TODAY()=$F466,"Follow up today","Due in "&amp;($F466-TODAY())&amp;IF($F466-TODAY()=1," day"," days"))))))</f>
        <v/>
      </c>
      <c r="H466" s="25" t="n"/>
      <c r="I466" s="25" t="n"/>
      <c r="J466" s="25" t="n"/>
      <c r="K466" s="25" t="n"/>
    </row>
    <row r="467" ht="18" customHeight="1">
      <c r="A467" s="25" t="n"/>
      <c r="B467" s="25" t="n"/>
      <c r="C467" s="26" t="n"/>
      <c r="D467" s="25" t="n"/>
      <c r="E467" s="25" t="n"/>
      <c r="F467" s="27">
        <f>IF($C467="","",$C467+7)</f>
        <v/>
      </c>
      <c r="G467" s="28">
        <f>IF($C467="","",IF(AND($E467&lt;&gt;"Applied",$E467&lt;&gt;""),"-",IF($H467="Yes","Followed up",IF(TODAY()&gt;$F467,"Overdue by "&amp;(TODAY()-$F467)&amp;IF(TODAY()-$F467=1," day"," days"),IF(TODAY()=$F467,"Follow up today","Due in "&amp;($F467-TODAY())&amp;IF($F467-TODAY()=1," day"," days"))))))</f>
        <v/>
      </c>
      <c r="H467" s="25" t="n"/>
      <c r="I467" s="25" t="n"/>
      <c r="J467" s="25" t="n"/>
      <c r="K467" s="25" t="n"/>
    </row>
    <row r="468" ht="18" customHeight="1">
      <c r="A468" s="25" t="n"/>
      <c r="B468" s="25" t="n"/>
      <c r="C468" s="26" t="n"/>
      <c r="D468" s="25" t="n"/>
      <c r="E468" s="25" t="n"/>
      <c r="F468" s="27">
        <f>IF($C468="","",$C468+7)</f>
        <v/>
      </c>
      <c r="G468" s="28">
        <f>IF($C468="","",IF(AND($E468&lt;&gt;"Applied",$E468&lt;&gt;""),"-",IF($H468="Yes","Followed up",IF(TODAY()&gt;$F468,"Overdue by "&amp;(TODAY()-$F468)&amp;IF(TODAY()-$F468=1," day"," days"),IF(TODAY()=$F468,"Follow up today","Due in "&amp;($F468-TODAY())&amp;IF($F468-TODAY()=1," day"," days"))))))</f>
        <v/>
      </c>
      <c r="H468" s="25" t="n"/>
      <c r="I468" s="25" t="n"/>
      <c r="J468" s="25" t="n"/>
      <c r="K468" s="25" t="n"/>
    </row>
    <row r="469" ht="18" customHeight="1">
      <c r="A469" s="25" t="n"/>
      <c r="B469" s="25" t="n"/>
      <c r="C469" s="26" t="n"/>
      <c r="D469" s="25" t="n"/>
      <c r="E469" s="25" t="n"/>
      <c r="F469" s="27">
        <f>IF($C469="","",$C469+7)</f>
        <v/>
      </c>
      <c r="G469" s="28">
        <f>IF($C469="","",IF(AND($E469&lt;&gt;"Applied",$E469&lt;&gt;""),"-",IF($H469="Yes","Followed up",IF(TODAY()&gt;$F469,"Overdue by "&amp;(TODAY()-$F469)&amp;IF(TODAY()-$F469=1," day"," days"),IF(TODAY()=$F469,"Follow up today","Due in "&amp;($F469-TODAY())&amp;IF($F469-TODAY()=1," day"," days"))))))</f>
        <v/>
      </c>
      <c r="H469" s="25" t="n"/>
      <c r="I469" s="25" t="n"/>
      <c r="J469" s="25" t="n"/>
      <c r="K469" s="25" t="n"/>
    </row>
    <row r="470" ht="18" customHeight="1">
      <c r="A470" s="25" t="n"/>
      <c r="B470" s="25" t="n"/>
      <c r="C470" s="26" t="n"/>
      <c r="D470" s="25" t="n"/>
      <c r="E470" s="25" t="n"/>
      <c r="F470" s="27">
        <f>IF($C470="","",$C470+7)</f>
        <v/>
      </c>
      <c r="G470" s="28">
        <f>IF($C470="","",IF(AND($E470&lt;&gt;"Applied",$E470&lt;&gt;""),"-",IF($H470="Yes","Followed up",IF(TODAY()&gt;$F470,"Overdue by "&amp;(TODAY()-$F470)&amp;IF(TODAY()-$F470=1," day"," days"),IF(TODAY()=$F470,"Follow up today","Due in "&amp;($F470-TODAY())&amp;IF($F470-TODAY()=1," day"," days"))))))</f>
        <v/>
      </c>
      <c r="H470" s="25" t="n"/>
      <c r="I470" s="25" t="n"/>
      <c r="J470" s="25" t="n"/>
      <c r="K470" s="25" t="n"/>
    </row>
    <row r="471" ht="18" customHeight="1">
      <c r="A471" s="25" t="n"/>
      <c r="B471" s="25" t="n"/>
      <c r="C471" s="26" t="n"/>
      <c r="D471" s="25" t="n"/>
      <c r="E471" s="25" t="n"/>
      <c r="F471" s="27">
        <f>IF($C471="","",$C471+7)</f>
        <v/>
      </c>
      <c r="G471" s="28">
        <f>IF($C471="","",IF(AND($E471&lt;&gt;"Applied",$E471&lt;&gt;""),"-",IF($H471="Yes","Followed up",IF(TODAY()&gt;$F471,"Overdue by "&amp;(TODAY()-$F471)&amp;IF(TODAY()-$F471=1," day"," days"),IF(TODAY()=$F471,"Follow up today","Due in "&amp;($F471-TODAY())&amp;IF($F471-TODAY()=1," day"," days"))))))</f>
        <v/>
      </c>
      <c r="H471" s="25" t="n"/>
      <c r="I471" s="25" t="n"/>
      <c r="J471" s="25" t="n"/>
      <c r="K471" s="25" t="n"/>
    </row>
    <row r="472" ht="18" customHeight="1">
      <c r="A472" s="25" t="n"/>
      <c r="B472" s="25" t="n"/>
      <c r="C472" s="26" t="n"/>
      <c r="D472" s="25" t="n"/>
      <c r="E472" s="25" t="n"/>
      <c r="F472" s="27">
        <f>IF($C472="","",$C472+7)</f>
        <v/>
      </c>
      <c r="G472" s="28">
        <f>IF($C472="","",IF(AND($E472&lt;&gt;"Applied",$E472&lt;&gt;""),"-",IF($H472="Yes","Followed up",IF(TODAY()&gt;$F472,"Overdue by "&amp;(TODAY()-$F472)&amp;IF(TODAY()-$F472=1," day"," days"),IF(TODAY()=$F472,"Follow up today","Due in "&amp;($F472-TODAY())&amp;IF($F472-TODAY()=1," day"," days"))))))</f>
        <v/>
      </c>
      <c r="H472" s="25" t="n"/>
      <c r="I472" s="25" t="n"/>
      <c r="J472" s="25" t="n"/>
      <c r="K472" s="25" t="n"/>
    </row>
    <row r="473" ht="18" customHeight="1">
      <c r="A473" s="25" t="n"/>
      <c r="B473" s="25" t="n"/>
      <c r="C473" s="26" t="n"/>
      <c r="D473" s="25" t="n"/>
      <c r="E473" s="25" t="n"/>
      <c r="F473" s="27">
        <f>IF($C473="","",$C473+7)</f>
        <v/>
      </c>
      <c r="G473" s="28">
        <f>IF($C473="","",IF(AND($E473&lt;&gt;"Applied",$E473&lt;&gt;""),"-",IF($H473="Yes","Followed up",IF(TODAY()&gt;$F473,"Overdue by "&amp;(TODAY()-$F473)&amp;IF(TODAY()-$F473=1," day"," days"),IF(TODAY()=$F473,"Follow up today","Due in "&amp;($F473-TODAY())&amp;IF($F473-TODAY()=1," day"," days"))))))</f>
        <v/>
      </c>
      <c r="H473" s="25" t="n"/>
      <c r="I473" s="25" t="n"/>
      <c r="J473" s="25" t="n"/>
      <c r="K473" s="25" t="n"/>
    </row>
    <row r="474" ht="18" customHeight="1">
      <c r="A474" s="25" t="n"/>
      <c r="B474" s="25" t="n"/>
      <c r="C474" s="26" t="n"/>
      <c r="D474" s="25" t="n"/>
      <c r="E474" s="25" t="n"/>
      <c r="F474" s="27">
        <f>IF($C474="","",$C474+7)</f>
        <v/>
      </c>
      <c r="G474" s="28">
        <f>IF($C474="","",IF(AND($E474&lt;&gt;"Applied",$E474&lt;&gt;""),"-",IF($H474="Yes","Followed up",IF(TODAY()&gt;$F474,"Overdue by "&amp;(TODAY()-$F474)&amp;IF(TODAY()-$F474=1," day"," days"),IF(TODAY()=$F474,"Follow up today","Due in "&amp;($F474-TODAY())&amp;IF($F474-TODAY()=1," day"," days"))))))</f>
        <v/>
      </c>
      <c r="H474" s="25" t="n"/>
      <c r="I474" s="25" t="n"/>
      <c r="J474" s="25" t="n"/>
      <c r="K474" s="25" t="n"/>
    </row>
    <row r="475" ht="18" customHeight="1">
      <c r="A475" s="25" t="n"/>
      <c r="B475" s="25" t="n"/>
      <c r="C475" s="26" t="n"/>
      <c r="D475" s="25" t="n"/>
      <c r="E475" s="25" t="n"/>
      <c r="F475" s="27">
        <f>IF($C475="","",$C475+7)</f>
        <v/>
      </c>
      <c r="G475" s="28">
        <f>IF($C475="","",IF(AND($E475&lt;&gt;"Applied",$E475&lt;&gt;""),"-",IF($H475="Yes","Followed up",IF(TODAY()&gt;$F475,"Overdue by "&amp;(TODAY()-$F475)&amp;IF(TODAY()-$F475=1," day"," days"),IF(TODAY()=$F475,"Follow up today","Due in "&amp;($F475-TODAY())&amp;IF($F475-TODAY()=1," day"," days"))))))</f>
        <v/>
      </c>
      <c r="H475" s="25" t="n"/>
      <c r="I475" s="25" t="n"/>
      <c r="J475" s="25" t="n"/>
      <c r="K475" s="25" t="n"/>
    </row>
    <row r="476" ht="18" customHeight="1">
      <c r="A476" s="25" t="n"/>
      <c r="B476" s="25" t="n"/>
      <c r="C476" s="26" t="n"/>
      <c r="D476" s="25" t="n"/>
      <c r="E476" s="25" t="n"/>
      <c r="F476" s="27">
        <f>IF($C476="","",$C476+7)</f>
        <v/>
      </c>
      <c r="G476" s="28">
        <f>IF($C476="","",IF(AND($E476&lt;&gt;"Applied",$E476&lt;&gt;""),"-",IF($H476="Yes","Followed up",IF(TODAY()&gt;$F476,"Overdue by "&amp;(TODAY()-$F476)&amp;IF(TODAY()-$F476=1," day"," days"),IF(TODAY()=$F476,"Follow up today","Due in "&amp;($F476-TODAY())&amp;IF($F476-TODAY()=1," day"," days"))))))</f>
        <v/>
      </c>
      <c r="H476" s="25" t="n"/>
      <c r="I476" s="25" t="n"/>
      <c r="J476" s="25" t="n"/>
      <c r="K476" s="25" t="n"/>
    </row>
    <row r="477" ht="18" customHeight="1">
      <c r="A477" s="25" t="n"/>
      <c r="B477" s="25" t="n"/>
      <c r="C477" s="26" t="n"/>
      <c r="D477" s="25" t="n"/>
      <c r="E477" s="25" t="n"/>
      <c r="F477" s="27">
        <f>IF($C477="","",$C477+7)</f>
        <v/>
      </c>
      <c r="G477" s="28">
        <f>IF($C477="","",IF(AND($E477&lt;&gt;"Applied",$E477&lt;&gt;""),"-",IF($H477="Yes","Followed up",IF(TODAY()&gt;$F477,"Overdue by "&amp;(TODAY()-$F477)&amp;IF(TODAY()-$F477=1," day"," days"),IF(TODAY()=$F477,"Follow up today","Due in "&amp;($F477-TODAY())&amp;IF($F477-TODAY()=1," day"," days"))))))</f>
        <v/>
      </c>
      <c r="H477" s="25" t="n"/>
      <c r="I477" s="25" t="n"/>
      <c r="J477" s="25" t="n"/>
      <c r="K477" s="25" t="n"/>
    </row>
    <row r="478" ht="18" customHeight="1">
      <c r="A478" s="25" t="n"/>
      <c r="B478" s="25" t="n"/>
      <c r="C478" s="26" t="n"/>
      <c r="D478" s="25" t="n"/>
      <c r="E478" s="25" t="n"/>
      <c r="F478" s="27">
        <f>IF($C478="","",$C478+7)</f>
        <v/>
      </c>
      <c r="G478" s="28">
        <f>IF($C478="","",IF(AND($E478&lt;&gt;"Applied",$E478&lt;&gt;""),"-",IF($H478="Yes","Followed up",IF(TODAY()&gt;$F478,"Overdue by "&amp;(TODAY()-$F478)&amp;IF(TODAY()-$F478=1," day"," days"),IF(TODAY()=$F478,"Follow up today","Due in "&amp;($F478-TODAY())&amp;IF($F478-TODAY()=1," day"," days"))))))</f>
        <v/>
      </c>
      <c r="H478" s="25" t="n"/>
      <c r="I478" s="25" t="n"/>
      <c r="J478" s="25" t="n"/>
      <c r="K478" s="25" t="n"/>
    </row>
    <row r="479" ht="18" customHeight="1">
      <c r="A479" s="25" t="n"/>
      <c r="B479" s="25" t="n"/>
      <c r="C479" s="26" t="n"/>
      <c r="D479" s="25" t="n"/>
      <c r="E479" s="25" t="n"/>
      <c r="F479" s="27">
        <f>IF($C479="","",$C479+7)</f>
        <v/>
      </c>
      <c r="G479" s="28">
        <f>IF($C479="","",IF(AND($E479&lt;&gt;"Applied",$E479&lt;&gt;""),"-",IF($H479="Yes","Followed up",IF(TODAY()&gt;$F479,"Overdue by "&amp;(TODAY()-$F479)&amp;IF(TODAY()-$F479=1," day"," days"),IF(TODAY()=$F479,"Follow up today","Due in "&amp;($F479-TODAY())&amp;IF($F479-TODAY()=1," day"," days"))))))</f>
        <v/>
      </c>
      <c r="H479" s="25" t="n"/>
      <c r="I479" s="25" t="n"/>
      <c r="J479" s="25" t="n"/>
      <c r="K479" s="25" t="n"/>
    </row>
    <row r="480" ht="18" customHeight="1">
      <c r="A480" s="25" t="n"/>
      <c r="B480" s="25" t="n"/>
      <c r="C480" s="26" t="n"/>
      <c r="D480" s="25" t="n"/>
      <c r="E480" s="25" t="n"/>
      <c r="F480" s="27">
        <f>IF($C480="","",$C480+7)</f>
        <v/>
      </c>
      <c r="G480" s="28">
        <f>IF($C480="","",IF(AND($E480&lt;&gt;"Applied",$E480&lt;&gt;""),"-",IF($H480="Yes","Followed up",IF(TODAY()&gt;$F480,"Overdue by "&amp;(TODAY()-$F480)&amp;IF(TODAY()-$F480=1," day"," days"),IF(TODAY()=$F480,"Follow up today","Due in "&amp;($F480-TODAY())&amp;IF($F480-TODAY()=1," day"," days"))))))</f>
        <v/>
      </c>
      <c r="H480" s="25" t="n"/>
      <c r="I480" s="25" t="n"/>
      <c r="J480" s="25" t="n"/>
      <c r="K480" s="25" t="n"/>
    </row>
    <row r="481" ht="18" customHeight="1">
      <c r="A481" s="25" t="n"/>
      <c r="B481" s="25" t="n"/>
      <c r="C481" s="26" t="n"/>
      <c r="D481" s="25" t="n"/>
      <c r="E481" s="25" t="n"/>
      <c r="F481" s="27">
        <f>IF($C481="","",$C481+7)</f>
        <v/>
      </c>
      <c r="G481" s="28">
        <f>IF($C481="","",IF(AND($E481&lt;&gt;"Applied",$E481&lt;&gt;""),"-",IF($H481="Yes","Followed up",IF(TODAY()&gt;$F481,"Overdue by "&amp;(TODAY()-$F481)&amp;IF(TODAY()-$F481=1," day"," days"),IF(TODAY()=$F481,"Follow up today","Due in "&amp;($F481-TODAY())&amp;IF($F481-TODAY()=1," day"," days"))))))</f>
        <v/>
      </c>
      <c r="H481" s="25" t="n"/>
      <c r="I481" s="25" t="n"/>
      <c r="J481" s="25" t="n"/>
      <c r="K481" s="25" t="n"/>
    </row>
    <row r="482" ht="18" customHeight="1">
      <c r="A482" s="25" t="n"/>
      <c r="B482" s="25" t="n"/>
      <c r="C482" s="26" t="n"/>
      <c r="D482" s="25" t="n"/>
      <c r="E482" s="25" t="n"/>
      <c r="F482" s="27">
        <f>IF($C482="","",$C482+7)</f>
        <v/>
      </c>
      <c r="G482" s="28">
        <f>IF($C482="","",IF(AND($E482&lt;&gt;"Applied",$E482&lt;&gt;""),"-",IF($H482="Yes","Followed up",IF(TODAY()&gt;$F482,"Overdue by "&amp;(TODAY()-$F482)&amp;IF(TODAY()-$F482=1," day"," days"),IF(TODAY()=$F482,"Follow up today","Due in "&amp;($F482-TODAY())&amp;IF($F482-TODAY()=1," day"," days"))))))</f>
        <v/>
      </c>
      <c r="H482" s="25" t="n"/>
      <c r="I482" s="25" t="n"/>
      <c r="J482" s="25" t="n"/>
      <c r="K482" s="25" t="n"/>
    </row>
    <row r="483" ht="18" customHeight="1">
      <c r="A483" s="25" t="n"/>
      <c r="B483" s="25" t="n"/>
      <c r="C483" s="26" t="n"/>
      <c r="D483" s="25" t="n"/>
      <c r="E483" s="25" t="n"/>
      <c r="F483" s="27">
        <f>IF($C483="","",$C483+7)</f>
        <v/>
      </c>
      <c r="G483" s="28">
        <f>IF($C483="","",IF(AND($E483&lt;&gt;"Applied",$E483&lt;&gt;""),"-",IF($H483="Yes","Followed up",IF(TODAY()&gt;$F483,"Overdue by "&amp;(TODAY()-$F483)&amp;IF(TODAY()-$F483=1," day"," days"),IF(TODAY()=$F483,"Follow up today","Due in "&amp;($F483-TODAY())&amp;IF($F483-TODAY()=1," day"," days"))))))</f>
        <v/>
      </c>
      <c r="H483" s="25" t="n"/>
      <c r="I483" s="25" t="n"/>
      <c r="J483" s="25" t="n"/>
      <c r="K483" s="25" t="n"/>
    </row>
    <row r="484" ht="18" customHeight="1">
      <c r="A484" s="25" t="n"/>
      <c r="B484" s="25" t="n"/>
      <c r="C484" s="26" t="n"/>
      <c r="D484" s="25" t="n"/>
      <c r="E484" s="25" t="n"/>
      <c r="F484" s="27">
        <f>IF($C484="","",$C484+7)</f>
        <v/>
      </c>
      <c r="G484" s="28">
        <f>IF($C484="","",IF(AND($E484&lt;&gt;"Applied",$E484&lt;&gt;""),"-",IF($H484="Yes","Followed up",IF(TODAY()&gt;$F484,"Overdue by "&amp;(TODAY()-$F484)&amp;IF(TODAY()-$F484=1," day"," days"),IF(TODAY()=$F484,"Follow up today","Due in "&amp;($F484-TODAY())&amp;IF($F484-TODAY()=1," day"," days"))))))</f>
        <v/>
      </c>
      <c r="H484" s="25" t="n"/>
      <c r="I484" s="25" t="n"/>
      <c r="J484" s="25" t="n"/>
      <c r="K484" s="25" t="n"/>
    </row>
    <row r="485" ht="18" customHeight="1">
      <c r="A485" s="25" t="n"/>
      <c r="B485" s="25" t="n"/>
      <c r="C485" s="26" t="n"/>
      <c r="D485" s="25" t="n"/>
      <c r="E485" s="25" t="n"/>
      <c r="F485" s="27">
        <f>IF($C485="","",$C485+7)</f>
        <v/>
      </c>
      <c r="G485" s="28">
        <f>IF($C485="","",IF(AND($E485&lt;&gt;"Applied",$E485&lt;&gt;""),"-",IF($H485="Yes","Followed up",IF(TODAY()&gt;$F485,"Overdue by "&amp;(TODAY()-$F485)&amp;IF(TODAY()-$F485=1," day"," days"),IF(TODAY()=$F485,"Follow up today","Due in "&amp;($F485-TODAY())&amp;IF($F485-TODAY()=1," day"," days"))))))</f>
        <v/>
      </c>
      <c r="H485" s="25" t="n"/>
      <c r="I485" s="25" t="n"/>
      <c r="J485" s="25" t="n"/>
      <c r="K485" s="25" t="n"/>
    </row>
    <row r="486" ht="18" customHeight="1">
      <c r="A486" s="25" t="n"/>
      <c r="B486" s="25" t="n"/>
      <c r="C486" s="26" t="n"/>
      <c r="D486" s="25" t="n"/>
      <c r="E486" s="25" t="n"/>
      <c r="F486" s="27">
        <f>IF($C486="","",$C486+7)</f>
        <v/>
      </c>
      <c r="G486" s="28">
        <f>IF($C486="","",IF(AND($E486&lt;&gt;"Applied",$E486&lt;&gt;""),"-",IF($H486="Yes","Followed up",IF(TODAY()&gt;$F486,"Overdue by "&amp;(TODAY()-$F486)&amp;IF(TODAY()-$F486=1," day"," days"),IF(TODAY()=$F486,"Follow up today","Due in "&amp;($F486-TODAY())&amp;IF($F486-TODAY()=1," day"," days"))))))</f>
        <v/>
      </c>
      <c r="H486" s="25" t="n"/>
      <c r="I486" s="25" t="n"/>
      <c r="J486" s="25" t="n"/>
      <c r="K486" s="25" t="n"/>
    </row>
    <row r="487" ht="18" customHeight="1">
      <c r="A487" s="25" t="n"/>
      <c r="B487" s="25" t="n"/>
      <c r="C487" s="26" t="n"/>
      <c r="D487" s="25" t="n"/>
      <c r="E487" s="25" t="n"/>
      <c r="F487" s="27">
        <f>IF($C487="","",$C487+7)</f>
        <v/>
      </c>
      <c r="G487" s="28">
        <f>IF($C487="","",IF(AND($E487&lt;&gt;"Applied",$E487&lt;&gt;""),"-",IF($H487="Yes","Followed up",IF(TODAY()&gt;$F487,"Overdue by "&amp;(TODAY()-$F487)&amp;IF(TODAY()-$F487=1," day"," days"),IF(TODAY()=$F487,"Follow up today","Due in "&amp;($F487-TODAY())&amp;IF($F487-TODAY()=1," day"," days"))))))</f>
        <v/>
      </c>
      <c r="H487" s="25" t="n"/>
      <c r="I487" s="25" t="n"/>
      <c r="J487" s="25" t="n"/>
      <c r="K487" s="25" t="n"/>
    </row>
    <row r="488" ht="18" customHeight="1">
      <c r="A488" s="25" t="n"/>
      <c r="B488" s="25" t="n"/>
      <c r="C488" s="26" t="n"/>
      <c r="D488" s="25" t="n"/>
      <c r="E488" s="25" t="n"/>
      <c r="F488" s="27">
        <f>IF($C488="","",$C488+7)</f>
        <v/>
      </c>
      <c r="G488" s="28">
        <f>IF($C488="","",IF(AND($E488&lt;&gt;"Applied",$E488&lt;&gt;""),"-",IF($H488="Yes","Followed up",IF(TODAY()&gt;$F488,"Overdue by "&amp;(TODAY()-$F488)&amp;IF(TODAY()-$F488=1," day"," days"),IF(TODAY()=$F488,"Follow up today","Due in "&amp;($F488-TODAY())&amp;IF($F488-TODAY()=1," day"," days"))))))</f>
        <v/>
      </c>
      <c r="H488" s="25" t="n"/>
      <c r="I488" s="25" t="n"/>
      <c r="J488" s="25" t="n"/>
      <c r="K488" s="25" t="n"/>
    </row>
    <row r="489" ht="18" customHeight="1">
      <c r="A489" s="25" t="n"/>
      <c r="B489" s="25" t="n"/>
      <c r="C489" s="26" t="n"/>
      <c r="D489" s="25" t="n"/>
      <c r="E489" s="25" t="n"/>
      <c r="F489" s="27">
        <f>IF($C489="","",$C489+7)</f>
        <v/>
      </c>
      <c r="G489" s="28">
        <f>IF($C489="","",IF(AND($E489&lt;&gt;"Applied",$E489&lt;&gt;""),"-",IF($H489="Yes","Followed up",IF(TODAY()&gt;$F489,"Overdue by "&amp;(TODAY()-$F489)&amp;IF(TODAY()-$F489=1," day"," days"),IF(TODAY()=$F489,"Follow up today","Due in "&amp;($F489-TODAY())&amp;IF($F489-TODAY()=1," day"," days"))))))</f>
        <v/>
      </c>
      <c r="H489" s="25" t="n"/>
      <c r="I489" s="25" t="n"/>
      <c r="J489" s="25" t="n"/>
      <c r="K489" s="25" t="n"/>
    </row>
    <row r="490" ht="18" customHeight="1">
      <c r="A490" s="25" t="n"/>
      <c r="B490" s="25" t="n"/>
      <c r="C490" s="26" t="n"/>
      <c r="D490" s="25" t="n"/>
      <c r="E490" s="25" t="n"/>
      <c r="F490" s="27">
        <f>IF($C490="","",$C490+7)</f>
        <v/>
      </c>
      <c r="G490" s="28">
        <f>IF($C490="","",IF(AND($E490&lt;&gt;"Applied",$E490&lt;&gt;""),"-",IF($H490="Yes","Followed up",IF(TODAY()&gt;$F490,"Overdue by "&amp;(TODAY()-$F490)&amp;IF(TODAY()-$F490=1," day"," days"),IF(TODAY()=$F490,"Follow up today","Due in "&amp;($F490-TODAY())&amp;IF($F490-TODAY()=1," day"," days"))))))</f>
        <v/>
      </c>
      <c r="H490" s="25" t="n"/>
      <c r="I490" s="25" t="n"/>
      <c r="J490" s="25" t="n"/>
      <c r="K490" s="25" t="n"/>
    </row>
    <row r="491" ht="18" customHeight="1">
      <c r="A491" s="25" t="n"/>
      <c r="B491" s="25" t="n"/>
      <c r="C491" s="26" t="n"/>
      <c r="D491" s="25" t="n"/>
      <c r="E491" s="25" t="n"/>
      <c r="F491" s="27">
        <f>IF($C491="","",$C491+7)</f>
        <v/>
      </c>
      <c r="G491" s="28">
        <f>IF($C491="","",IF(AND($E491&lt;&gt;"Applied",$E491&lt;&gt;""),"-",IF($H491="Yes","Followed up",IF(TODAY()&gt;$F491,"Overdue by "&amp;(TODAY()-$F491)&amp;IF(TODAY()-$F491=1," day"," days"),IF(TODAY()=$F491,"Follow up today","Due in "&amp;($F491-TODAY())&amp;IF($F491-TODAY()=1," day"," days"))))))</f>
        <v/>
      </c>
      <c r="H491" s="25" t="n"/>
      <c r="I491" s="25" t="n"/>
      <c r="J491" s="25" t="n"/>
      <c r="K491" s="25" t="n"/>
    </row>
    <row r="492" ht="18" customHeight="1">
      <c r="A492" s="25" t="n"/>
      <c r="B492" s="25" t="n"/>
      <c r="C492" s="26" t="n"/>
      <c r="D492" s="25" t="n"/>
      <c r="E492" s="25" t="n"/>
      <c r="F492" s="27">
        <f>IF($C492="","",$C492+7)</f>
        <v/>
      </c>
      <c r="G492" s="28">
        <f>IF($C492="","",IF(AND($E492&lt;&gt;"Applied",$E492&lt;&gt;""),"-",IF($H492="Yes","Followed up",IF(TODAY()&gt;$F492,"Overdue by "&amp;(TODAY()-$F492)&amp;IF(TODAY()-$F492=1," day"," days"),IF(TODAY()=$F492,"Follow up today","Due in "&amp;($F492-TODAY())&amp;IF($F492-TODAY()=1," day"," days"))))))</f>
        <v/>
      </c>
      <c r="H492" s="25" t="n"/>
      <c r="I492" s="25" t="n"/>
      <c r="J492" s="25" t="n"/>
      <c r="K492" s="25" t="n"/>
    </row>
    <row r="493" ht="18" customHeight="1">
      <c r="A493" s="25" t="n"/>
      <c r="B493" s="25" t="n"/>
      <c r="C493" s="26" t="n"/>
      <c r="D493" s="25" t="n"/>
      <c r="E493" s="25" t="n"/>
      <c r="F493" s="27">
        <f>IF($C493="","",$C493+7)</f>
        <v/>
      </c>
      <c r="G493" s="28">
        <f>IF($C493="","",IF(AND($E493&lt;&gt;"Applied",$E493&lt;&gt;""),"-",IF($H493="Yes","Followed up",IF(TODAY()&gt;$F493,"Overdue by "&amp;(TODAY()-$F493)&amp;IF(TODAY()-$F493=1," day"," days"),IF(TODAY()=$F493,"Follow up today","Due in "&amp;($F493-TODAY())&amp;IF($F493-TODAY()=1," day"," days"))))))</f>
        <v/>
      </c>
      <c r="H493" s="25" t="n"/>
      <c r="I493" s="25" t="n"/>
      <c r="J493" s="25" t="n"/>
      <c r="K493" s="25" t="n"/>
    </row>
    <row r="494" ht="18" customHeight="1">
      <c r="A494" s="25" t="n"/>
      <c r="B494" s="25" t="n"/>
      <c r="C494" s="26" t="n"/>
      <c r="D494" s="25" t="n"/>
      <c r="E494" s="25" t="n"/>
      <c r="F494" s="27">
        <f>IF($C494="","",$C494+7)</f>
        <v/>
      </c>
      <c r="G494" s="28">
        <f>IF($C494="","",IF(AND($E494&lt;&gt;"Applied",$E494&lt;&gt;""),"-",IF($H494="Yes","Followed up",IF(TODAY()&gt;$F494,"Overdue by "&amp;(TODAY()-$F494)&amp;IF(TODAY()-$F494=1," day"," days"),IF(TODAY()=$F494,"Follow up today","Due in "&amp;($F494-TODAY())&amp;IF($F494-TODAY()=1," day"," days"))))))</f>
        <v/>
      </c>
      <c r="H494" s="25" t="n"/>
      <c r="I494" s="25" t="n"/>
      <c r="J494" s="25" t="n"/>
      <c r="K494" s="25" t="n"/>
    </row>
    <row r="495" ht="18" customHeight="1">
      <c r="A495" s="25" t="n"/>
      <c r="B495" s="25" t="n"/>
      <c r="C495" s="26" t="n"/>
      <c r="D495" s="25" t="n"/>
      <c r="E495" s="25" t="n"/>
      <c r="F495" s="27">
        <f>IF($C495="","",$C495+7)</f>
        <v/>
      </c>
      <c r="G495" s="28">
        <f>IF($C495="","",IF(AND($E495&lt;&gt;"Applied",$E495&lt;&gt;""),"-",IF($H495="Yes","Followed up",IF(TODAY()&gt;$F495,"Overdue by "&amp;(TODAY()-$F495)&amp;IF(TODAY()-$F495=1," day"," days"),IF(TODAY()=$F495,"Follow up today","Due in "&amp;($F495-TODAY())&amp;IF($F495-TODAY()=1," day"," days"))))))</f>
        <v/>
      </c>
      <c r="H495" s="25" t="n"/>
      <c r="I495" s="25" t="n"/>
      <c r="J495" s="25" t="n"/>
      <c r="K495" s="25" t="n"/>
    </row>
    <row r="496" ht="18" customHeight="1">
      <c r="A496" s="25" t="n"/>
      <c r="B496" s="25" t="n"/>
      <c r="C496" s="26" t="n"/>
      <c r="D496" s="25" t="n"/>
      <c r="E496" s="25" t="n"/>
      <c r="F496" s="27">
        <f>IF($C496="","",$C496+7)</f>
        <v/>
      </c>
      <c r="G496" s="28">
        <f>IF($C496="","",IF(AND($E496&lt;&gt;"Applied",$E496&lt;&gt;""),"-",IF($H496="Yes","Followed up",IF(TODAY()&gt;$F496,"Overdue by "&amp;(TODAY()-$F496)&amp;IF(TODAY()-$F496=1," day"," days"),IF(TODAY()=$F496,"Follow up today","Due in "&amp;($F496-TODAY())&amp;IF($F496-TODAY()=1," day"," days"))))))</f>
        <v/>
      </c>
      <c r="H496" s="25" t="n"/>
      <c r="I496" s="25" t="n"/>
      <c r="J496" s="25" t="n"/>
      <c r="K496" s="25" t="n"/>
    </row>
    <row r="497" ht="18" customHeight="1">
      <c r="A497" s="25" t="n"/>
      <c r="B497" s="25" t="n"/>
      <c r="C497" s="26" t="n"/>
      <c r="D497" s="25" t="n"/>
      <c r="E497" s="25" t="n"/>
      <c r="F497" s="27">
        <f>IF($C497="","",$C497+7)</f>
        <v/>
      </c>
      <c r="G497" s="28">
        <f>IF($C497="","",IF(AND($E497&lt;&gt;"Applied",$E497&lt;&gt;""),"-",IF($H497="Yes","Followed up",IF(TODAY()&gt;$F497,"Overdue by "&amp;(TODAY()-$F497)&amp;IF(TODAY()-$F497=1," day"," days"),IF(TODAY()=$F497,"Follow up today","Due in "&amp;($F497-TODAY())&amp;IF($F497-TODAY()=1," day"," days"))))))</f>
        <v/>
      </c>
      <c r="H497" s="25" t="n"/>
      <c r="I497" s="25" t="n"/>
      <c r="J497" s="25" t="n"/>
      <c r="K497" s="25" t="n"/>
    </row>
    <row r="498" ht="18" customHeight="1">
      <c r="A498" s="25" t="n"/>
      <c r="B498" s="25" t="n"/>
      <c r="C498" s="26" t="n"/>
      <c r="D498" s="25" t="n"/>
      <c r="E498" s="25" t="n"/>
      <c r="F498" s="27">
        <f>IF($C498="","",$C498+7)</f>
        <v/>
      </c>
      <c r="G498" s="28">
        <f>IF($C498="","",IF(AND($E498&lt;&gt;"Applied",$E498&lt;&gt;""),"-",IF($H498="Yes","Followed up",IF(TODAY()&gt;$F498,"Overdue by "&amp;(TODAY()-$F498)&amp;IF(TODAY()-$F498=1," day"," days"),IF(TODAY()=$F498,"Follow up today","Due in "&amp;($F498-TODAY())&amp;IF($F498-TODAY()=1," day"," days"))))))</f>
        <v/>
      </c>
      <c r="H498" s="25" t="n"/>
      <c r="I498" s="25" t="n"/>
      <c r="J498" s="25" t="n"/>
      <c r="K498" s="25" t="n"/>
    </row>
    <row r="499" ht="18" customHeight="1">
      <c r="A499" s="25" t="n"/>
      <c r="B499" s="25" t="n"/>
      <c r="C499" s="26" t="n"/>
      <c r="D499" s="25" t="n"/>
      <c r="E499" s="25" t="n"/>
      <c r="F499" s="27">
        <f>IF($C499="","",$C499+7)</f>
        <v/>
      </c>
      <c r="G499" s="28">
        <f>IF($C499="","",IF(AND($E499&lt;&gt;"Applied",$E499&lt;&gt;""),"-",IF($H499="Yes","Followed up",IF(TODAY()&gt;$F499,"Overdue by "&amp;(TODAY()-$F499)&amp;IF(TODAY()-$F499=1," day"," days"),IF(TODAY()=$F499,"Follow up today","Due in "&amp;($F499-TODAY())&amp;IF($F499-TODAY()=1," day"," days"))))))</f>
        <v/>
      </c>
      <c r="H499" s="25" t="n"/>
      <c r="I499" s="25" t="n"/>
      <c r="J499" s="25" t="n"/>
      <c r="K499" s="25" t="n"/>
    </row>
    <row r="500" ht="18" customHeight="1">
      <c r="A500" s="25" t="n"/>
      <c r="B500" s="25" t="n"/>
      <c r="C500" s="26" t="n"/>
      <c r="D500" s="25" t="n"/>
      <c r="E500" s="25" t="n"/>
      <c r="F500" s="27">
        <f>IF($C500="","",$C500+7)</f>
        <v/>
      </c>
      <c r="G500" s="28">
        <f>IF($C500="","",IF(AND($E500&lt;&gt;"Applied",$E500&lt;&gt;""),"-",IF($H500="Yes","Followed up",IF(TODAY()&gt;$F500,"Overdue by "&amp;(TODAY()-$F500)&amp;IF(TODAY()-$F500=1," day"," days"),IF(TODAY()=$F500,"Follow up today","Due in "&amp;($F500-TODAY())&amp;IF($F500-TODAY()=1," day"," days"))))))</f>
        <v/>
      </c>
      <c r="H500" s="25" t="n"/>
      <c r="I500" s="25" t="n"/>
      <c r="J500" s="25" t="n"/>
      <c r="K500" s="25" t="n"/>
    </row>
    <row r="501" ht="18" customHeight="1">
      <c r="A501" s="25" t="n"/>
      <c r="B501" s="25" t="n"/>
      <c r="C501" s="26" t="n"/>
      <c r="D501" s="25" t="n"/>
      <c r="E501" s="25" t="n"/>
      <c r="F501" s="27">
        <f>IF($C501="","",$C501+7)</f>
        <v/>
      </c>
      <c r="G501" s="28">
        <f>IF($C501="","",IF(AND($E501&lt;&gt;"Applied",$E501&lt;&gt;""),"-",IF($H501="Yes","Followed up",IF(TODAY()&gt;$F501,"Overdue by "&amp;(TODAY()-$F501)&amp;IF(TODAY()-$F501=1," day"," days"),IF(TODAY()=$F501,"Follow up today","Due in "&amp;($F501-TODAY())&amp;IF($F501-TODAY()=1," day"," days"))))))</f>
        <v/>
      </c>
      <c r="H501" s="25" t="n"/>
      <c r="I501" s="25" t="n"/>
      <c r="J501" s="25" t="n"/>
      <c r="K501" s="25" t="n"/>
    </row>
    <row r="502" ht="18" customHeight="1">
      <c r="A502" s="25" t="n"/>
      <c r="B502" s="25" t="n"/>
      <c r="C502" s="26" t="n"/>
      <c r="D502" s="25" t="n"/>
      <c r="E502" s="25" t="n"/>
      <c r="F502" s="27">
        <f>IF($C502="","",$C502+7)</f>
        <v/>
      </c>
      <c r="G502" s="28">
        <f>IF($C502="","",IF(AND($E502&lt;&gt;"Applied",$E502&lt;&gt;""),"-",IF($H502="Yes","Followed up",IF(TODAY()&gt;$F502,"Overdue by "&amp;(TODAY()-$F502)&amp;IF(TODAY()-$F502=1," day"," days"),IF(TODAY()=$F502,"Follow up today","Due in "&amp;($F502-TODAY())&amp;IF($F502-TODAY()=1," day"," days"))))))</f>
        <v/>
      </c>
      <c r="H502" s="25" t="n"/>
      <c r="I502" s="25" t="n"/>
      <c r="J502" s="25" t="n"/>
      <c r="K502" s="25" t="n"/>
    </row>
    <row r="503" ht="18" customHeight="1">
      <c r="A503" s="25" t="n"/>
      <c r="B503" s="25" t="n"/>
      <c r="C503" s="26" t="n"/>
      <c r="D503" s="25" t="n"/>
      <c r="E503" s="25" t="n"/>
      <c r="F503" s="27">
        <f>IF($C503="","",$C503+7)</f>
        <v/>
      </c>
      <c r="G503" s="28">
        <f>IF($C503="","",IF(AND($E503&lt;&gt;"Applied",$E503&lt;&gt;""),"-",IF($H503="Yes","Followed up",IF(TODAY()&gt;$F503,"Overdue by "&amp;(TODAY()-$F503)&amp;IF(TODAY()-$F503=1," day"," days"),IF(TODAY()=$F503,"Follow up today","Due in "&amp;($F503-TODAY())&amp;IF($F503-TODAY()=1," day"," days"))))))</f>
        <v/>
      </c>
      <c r="H503" s="25" t="n"/>
      <c r="I503" s="25" t="n"/>
      <c r="J503" s="25" t="n"/>
      <c r="K503" s="25" t="n"/>
    </row>
    <row r="504" ht="18" customHeight="1">
      <c r="A504" s="25" t="n"/>
      <c r="B504" s="25" t="n"/>
      <c r="C504" s="26" t="n"/>
      <c r="D504" s="25" t="n"/>
      <c r="E504" s="25" t="n"/>
      <c r="F504" s="27">
        <f>IF($C504="","",$C504+7)</f>
        <v/>
      </c>
      <c r="G504" s="28">
        <f>IF($C504="","",IF(AND($E504&lt;&gt;"Applied",$E504&lt;&gt;""),"-",IF($H504="Yes","Followed up",IF(TODAY()&gt;$F504,"Overdue by "&amp;(TODAY()-$F504)&amp;IF(TODAY()-$F504=1," day"," days"),IF(TODAY()=$F504,"Follow up today","Due in "&amp;($F504-TODAY())&amp;IF($F504-TODAY()=1," day"," days"))))))</f>
        <v/>
      </c>
      <c r="H504" s="25" t="n"/>
      <c r="I504" s="25" t="n"/>
      <c r="J504" s="25" t="n"/>
      <c r="K504" s="25" t="n"/>
    </row>
    <row r="505" ht="18" customHeight="1">
      <c r="A505" s="25" t="n"/>
      <c r="B505" s="25" t="n"/>
      <c r="C505" s="26" t="n"/>
      <c r="D505" s="25" t="n"/>
      <c r="E505" s="25" t="n"/>
      <c r="F505" s="27">
        <f>IF($C505="","",$C505+7)</f>
        <v/>
      </c>
      <c r="G505" s="28">
        <f>IF($C505="","",IF(AND($E505&lt;&gt;"Applied",$E505&lt;&gt;""),"-",IF($H505="Yes","Followed up",IF(TODAY()&gt;$F505,"Overdue by "&amp;(TODAY()-$F505)&amp;IF(TODAY()-$F505=1," day"," days"),IF(TODAY()=$F505,"Follow up today","Due in "&amp;($F505-TODAY())&amp;IF($F505-TODAY()=1," day"," days"))))))</f>
        <v/>
      </c>
      <c r="H505" s="25" t="n"/>
      <c r="I505" s="25" t="n"/>
      <c r="J505" s="25" t="n"/>
      <c r="K505" s="25" t="n"/>
    </row>
    <row r="506" ht="18" customHeight="1">
      <c r="A506" s="25" t="n"/>
      <c r="B506" s="25" t="n"/>
      <c r="C506" s="26" t="n"/>
      <c r="D506" s="25" t="n"/>
      <c r="E506" s="25" t="n"/>
      <c r="F506" s="27">
        <f>IF($C506="","",$C506+7)</f>
        <v/>
      </c>
      <c r="G506" s="28">
        <f>IF($C506="","",IF(AND($E506&lt;&gt;"Applied",$E506&lt;&gt;""),"-",IF($H506="Yes","Followed up",IF(TODAY()&gt;$F506,"Overdue by "&amp;(TODAY()-$F506)&amp;IF(TODAY()-$F506=1," day"," days"),IF(TODAY()=$F506,"Follow up today","Due in "&amp;($F506-TODAY())&amp;IF($F506-TODAY()=1," day"," days"))))))</f>
        <v/>
      </c>
      <c r="H506" s="25" t="n"/>
      <c r="I506" s="25" t="n"/>
      <c r="J506" s="25" t="n"/>
      <c r="K506" s="25" t="n"/>
    </row>
    <row r="507" ht="18" customHeight="1">
      <c r="A507" s="25" t="n"/>
      <c r="B507" s="25" t="n"/>
      <c r="C507" s="26" t="n"/>
      <c r="D507" s="25" t="n"/>
      <c r="E507" s="25" t="n"/>
      <c r="F507" s="27">
        <f>IF($C507="","",$C507+7)</f>
        <v/>
      </c>
      <c r="G507" s="28">
        <f>IF($C507="","",IF(AND($E507&lt;&gt;"Applied",$E507&lt;&gt;""),"-",IF($H507="Yes","Followed up",IF(TODAY()&gt;$F507,"Overdue by "&amp;(TODAY()-$F507)&amp;IF(TODAY()-$F507=1," day"," days"),IF(TODAY()=$F507,"Follow up today","Due in "&amp;($F507-TODAY())&amp;IF($F507-TODAY()=1," day"," days"))))))</f>
        <v/>
      </c>
      <c r="H507" s="25" t="n"/>
      <c r="I507" s="25" t="n"/>
      <c r="J507" s="25" t="n"/>
      <c r="K507" s="25" t="n"/>
    </row>
    <row r="508" ht="18" customHeight="1">
      <c r="A508" s="25" t="n"/>
      <c r="B508" s="25" t="n"/>
      <c r="C508" s="26" t="n"/>
      <c r="D508" s="25" t="n"/>
      <c r="E508" s="25" t="n"/>
      <c r="F508" s="27">
        <f>IF($C508="","",$C508+7)</f>
        <v/>
      </c>
      <c r="G508" s="28">
        <f>IF($C508="","",IF(AND($E508&lt;&gt;"Applied",$E508&lt;&gt;""),"-",IF($H508="Yes","Followed up",IF(TODAY()&gt;$F508,"Overdue by "&amp;(TODAY()-$F508)&amp;IF(TODAY()-$F508=1," day"," days"),IF(TODAY()=$F508,"Follow up today","Due in "&amp;($F508-TODAY())&amp;IF($F508-TODAY()=1," day"," days"))))))</f>
        <v/>
      </c>
      <c r="H508" s="25" t="n"/>
      <c r="I508" s="25" t="n"/>
      <c r="J508" s="25" t="n"/>
      <c r="K508" s="25" t="n"/>
    </row>
  </sheetData>
  <autoFilter ref="A8:K508"/>
  <mergeCells count="15">
    <mergeCell ref="A4:B4"/>
    <mergeCell ref="A2:F2"/>
    <mergeCell ref="I4:J4"/>
    <mergeCell ref="F6:H6"/>
    <mergeCell ref="F5:H5"/>
    <mergeCell ref="C5:E5"/>
    <mergeCell ref="I6:J6"/>
    <mergeCell ref="A7:K7"/>
    <mergeCell ref="G2:K2"/>
    <mergeCell ref="A5:B5"/>
    <mergeCell ref="C4:E4"/>
    <mergeCell ref="F4:H4"/>
    <mergeCell ref="I5:J5"/>
    <mergeCell ref="A6:B6"/>
    <mergeCell ref="C6:E6"/>
  </mergeCells>
  <conditionalFormatting sqref="G9:G508">
    <cfRule type="expression" priority="1" dxfId="0" stopIfTrue="0">
      <formula>ISNUMBER(SEARCH("Overdue",$G9))</formula>
    </cfRule>
    <cfRule type="expression" priority="3" dxfId="1" stopIfTrue="0">
      <formula>$G9="Follow up today"</formula>
    </cfRule>
  </conditionalFormatting>
  <conditionalFormatting sqref="A9:K508">
    <cfRule type="expression" priority="2" dxfId="2" stopIfTrue="0">
      <formula>ISNUMBER(SEARCH("Overdue",$G9))</formula>
    </cfRule>
    <cfRule type="expression" priority="4" dxfId="1" stopIfTrue="0">
      <formula>$E9="Offer"</formula>
    </cfRule>
    <cfRule type="expression" priority="5" dxfId="3" stopIfTrue="0">
      <formula>OR($E9="Rejected",$E9="Withdrawn")</formula>
    </cfRule>
    <cfRule type="expression" priority="6" dxfId="4" stopIfTrue="0">
      <formula>AND($A9&lt;&gt;"",MOD(ROW(),2)=0)</formula>
    </cfRule>
  </conditionalFormatting>
  <dataValidations count="4">
    <dataValidation sqref="D9:D508" showDropDown="0" showInputMessage="0" showErrorMessage="0" allowBlank="1" type="list">
      <formula1>SourceList</formula1>
    </dataValidation>
    <dataValidation sqref="E9:E508" showDropDown="0" showInputMessage="0" showErrorMessage="0" allowBlank="1" type="list">
      <formula1>StatusList</formula1>
    </dataValidation>
    <dataValidation sqref="H9:H508" showDropDown="0" showInputMessage="0" showErrorMessage="0" allowBlank="1" type="list">
      <formula1>YesNoList</formula1>
    </dataValidation>
    <dataValidation sqref="C9:C508" showDropDown="0" showInputMessage="0" showErrorMessage="0" allowBlank="1" errorTitle="Check the date" error="That does not look like a date. Type it as 12/08/2026, or press Ctrl and the semicolon key to drop in today's date." type="date" errorStyle="warning" operator="greaterThan">
      <formula1>DATE(2020,1,1)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G57"/>
  <sheetViews>
    <sheetView showGridLines="0" workbookViewId="0">
      <pane ySplit="7" topLeftCell="A8" activePane="bottomLeft" state="frozen"/>
      <selection pane="bottomLeft" activeCell="A1" sqref="A1"/>
    </sheetView>
  </sheetViews>
  <sheetFormatPr baseColWidth="8" defaultRowHeight="15"/>
  <cols>
    <col width="26" customWidth="1" min="1" max="1"/>
    <col width="38" customWidth="1" min="2" max="2"/>
    <col width="38" customWidth="1" min="3" max="3"/>
    <col width="16" customWidth="1" min="4" max="4"/>
    <col width="14" customWidth="1" min="5" max="5"/>
    <col width="26" customWidth="1" min="6" max="6"/>
    <col width="34" customWidth="1" min="7" max="7"/>
  </cols>
  <sheetData>
    <row r="1" ht="6" customHeight="1"/>
    <row r="2" ht="30" customHeight="1">
      <c r="A2" s="13" t="inlineStr">
        <is>
          <t>Target companies</t>
        </is>
      </c>
      <c r="E2" s="14" t="inlineStr">
        <is>
          <t>Aussie Grad Careers</t>
        </is>
      </c>
    </row>
    <row r="3" ht="4" customHeight="1">
      <c r="A3" s="2" t="n"/>
      <c r="B3" s="2" t="n"/>
      <c r="C3" s="2" t="n"/>
      <c r="D3" s="2" t="n"/>
      <c r="E3" s="2" t="n"/>
      <c r="F3" s="2" t="n"/>
      <c r="G3" s="2" t="n"/>
    </row>
    <row r="4" ht="16" customHeight="1">
      <c r="A4" s="15" t="inlineStr">
        <is>
          <t>COMPANIES ON YOUR LIST</t>
        </is>
      </c>
      <c r="C4" s="16" t="inlineStr">
        <is>
          <t>WHERE YOU NEED TO BE</t>
        </is>
      </c>
    </row>
    <row r="5" ht="28" customHeight="1">
      <c r="A5" s="17">
        <f>COUNTA($A$8:$A$57)</f>
        <v/>
      </c>
      <c r="C5" s="29">
        <f>IF(COUNTA($A$8:$A$57)&gt;=20,"You are there. Now check these pages weekly.","20 to 30 organisations you genuinely want to work for. Add "&amp;(20-COUNTA($A$8:$A$57))&amp;" more to reach the bottom of that range.")</f>
        <v/>
      </c>
    </row>
    <row r="6" ht="26" customHeight="1">
      <c r="A6" s="30" t="inlineStr">
        <is>
          <t>Roles hit a company careers page 24 to 48 hours before they hit Seek. Bookmark each page, set a Google alert for the company name plus the word hiring, and check the list weekly. That is how you end up applicant number 20 instead of applicant number 200.</t>
        </is>
      </c>
    </row>
    <row r="7" ht="24" customHeight="1">
      <c r="A7" s="31" t="inlineStr">
        <is>
          <t>Company</t>
        </is>
      </c>
      <c r="B7" s="31" t="inlineStr">
        <is>
          <t>Why this one</t>
        </is>
      </c>
      <c r="C7" s="31" t="inlineStr">
        <is>
          <t>Careers page URL</t>
        </is>
      </c>
      <c r="D7" s="31" t="inlineStr">
        <is>
          <t>Google alert set?</t>
        </is>
      </c>
      <c r="E7" s="31" t="inlineStr">
        <is>
          <t>Last checked</t>
        </is>
      </c>
      <c r="F7" s="31" t="inlineStr">
        <is>
          <t>Roles seen so far</t>
        </is>
      </c>
      <c r="G7" s="31" t="inlineStr">
        <is>
          <t>Notes</t>
        </is>
      </c>
    </row>
    <row r="8" ht="18" customHeight="1">
      <c r="A8" s="32" t="n"/>
      <c r="B8" s="32" t="n"/>
      <c r="C8" s="32" t="n"/>
      <c r="D8" s="32" t="n"/>
      <c r="E8" s="33" t="n"/>
      <c r="F8" s="32" t="n"/>
      <c r="G8" s="32" t="n"/>
    </row>
    <row r="9" ht="18" customHeight="1">
      <c r="A9" s="32" t="n"/>
      <c r="B9" s="32" t="n"/>
      <c r="C9" s="32" t="n"/>
      <c r="D9" s="32" t="n"/>
      <c r="E9" s="33" t="n"/>
      <c r="F9" s="32" t="n"/>
      <c r="G9" s="32" t="n"/>
    </row>
    <row r="10" ht="18" customHeight="1">
      <c r="A10" s="32" t="n"/>
      <c r="B10" s="32" t="n"/>
      <c r="C10" s="32" t="n"/>
      <c r="D10" s="32" t="n"/>
      <c r="E10" s="33" t="n"/>
      <c r="F10" s="32" t="n"/>
      <c r="G10" s="32" t="n"/>
    </row>
    <row r="11" ht="18" customHeight="1">
      <c r="A11" s="32" t="n"/>
      <c r="B11" s="32" t="n"/>
      <c r="C11" s="32" t="n"/>
      <c r="D11" s="32" t="n"/>
      <c r="E11" s="33" t="n"/>
      <c r="F11" s="32" t="n"/>
      <c r="G11" s="32" t="n"/>
    </row>
    <row r="12" ht="18" customHeight="1">
      <c r="A12" s="32" t="n"/>
      <c r="B12" s="32" t="n"/>
      <c r="C12" s="32" t="n"/>
      <c r="D12" s="32" t="n"/>
      <c r="E12" s="33" t="n"/>
      <c r="F12" s="32" t="n"/>
      <c r="G12" s="32" t="n"/>
    </row>
    <row r="13" ht="18" customHeight="1">
      <c r="A13" s="32" t="n"/>
      <c r="B13" s="32" t="n"/>
      <c r="C13" s="32" t="n"/>
      <c r="D13" s="32" t="n"/>
      <c r="E13" s="33" t="n"/>
      <c r="F13" s="32" t="n"/>
      <c r="G13" s="32" t="n"/>
    </row>
    <row r="14" ht="18" customHeight="1">
      <c r="A14" s="32" t="n"/>
      <c r="B14" s="32" t="n"/>
      <c r="C14" s="32" t="n"/>
      <c r="D14" s="32" t="n"/>
      <c r="E14" s="33" t="n"/>
      <c r="F14" s="32" t="n"/>
      <c r="G14" s="32" t="n"/>
    </row>
    <row r="15" ht="18" customHeight="1">
      <c r="A15" s="32" t="n"/>
      <c r="B15" s="32" t="n"/>
      <c r="C15" s="32" t="n"/>
      <c r="D15" s="32" t="n"/>
      <c r="E15" s="33" t="n"/>
      <c r="F15" s="32" t="n"/>
      <c r="G15" s="32" t="n"/>
    </row>
    <row r="16" ht="18" customHeight="1">
      <c r="A16" s="32" t="n"/>
      <c r="B16" s="32" t="n"/>
      <c r="C16" s="32" t="n"/>
      <c r="D16" s="32" t="n"/>
      <c r="E16" s="33" t="n"/>
      <c r="F16" s="32" t="n"/>
      <c r="G16" s="32" t="n"/>
    </row>
    <row r="17" ht="18" customHeight="1">
      <c r="A17" s="32" t="n"/>
      <c r="B17" s="32" t="n"/>
      <c r="C17" s="32" t="n"/>
      <c r="D17" s="32" t="n"/>
      <c r="E17" s="33" t="n"/>
      <c r="F17" s="32" t="n"/>
      <c r="G17" s="32" t="n"/>
    </row>
    <row r="18" ht="18" customHeight="1">
      <c r="A18" s="32" t="n"/>
      <c r="B18" s="32" t="n"/>
      <c r="C18" s="32" t="n"/>
      <c r="D18" s="32" t="n"/>
      <c r="E18" s="33" t="n"/>
      <c r="F18" s="32" t="n"/>
      <c r="G18" s="32" t="n"/>
    </row>
    <row r="19" ht="18" customHeight="1">
      <c r="A19" s="32" t="n"/>
      <c r="B19" s="32" t="n"/>
      <c r="C19" s="32" t="n"/>
      <c r="D19" s="32" t="n"/>
      <c r="E19" s="33" t="n"/>
      <c r="F19" s="32" t="n"/>
      <c r="G19" s="32" t="n"/>
    </row>
    <row r="20" ht="18" customHeight="1">
      <c r="A20" s="32" t="n"/>
      <c r="B20" s="32" t="n"/>
      <c r="C20" s="32" t="n"/>
      <c r="D20" s="32" t="n"/>
      <c r="E20" s="33" t="n"/>
      <c r="F20" s="32" t="n"/>
      <c r="G20" s="32" t="n"/>
    </row>
    <row r="21" ht="18" customHeight="1">
      <c r="A21" s="32" t="n"/>
      <c r="B21" s="32" t="n"/>
      <c r="C21" s="32" t="n"/>
      <c r="D21" s="32" t="n"/>
      <c r="E21" s="33" t="n"/>
      <c r="F21" s="32" t="n"/>
      <c r="G21" s="32" t="n"/>
    </row>
    <row r="22" ht="18" customHeight="1">
      <c r="A22" s="32" t="n"/>
      <c r="B22" s="32" t="n"/>
      <c r="C22" s="32" t="n"/>
      <c r="D22" s="32" t="n"/>
      <c r="E22" s="33" t="n"/>
      <c r="F22" s="32" t="n"/>
      <c r="G22" s="32" t="n"/>
    </row>
    <row r="23" ht="18" customHeight="1">
      <c r="A23" s="32" t="n"/>
      <c r="B23" s="32" t="n"/>
      <c r="C23" s="32" t="n"/>
      <c r="D23" s="32" t="n"/>
      <c r="E23" s="33" t="n"/>
      <c r="F23" s="32" t="n"/>
      <c r="G23" s="32" t="n"/>
    </row>
    <row r="24" ht="18" customHeight="1">
      <c r="A24" s="32" t="n"/>
      <c r="B24" s="32" t="n"/>
      <c r="C24" s="32" t="n"/>
      <c r="D24" s="32" t="n"/>
      <c r="E24" s="33" t="n"/>
      <c r="F24" s="32" t="n"/>
      <c r="G24" s="32" t="n"/>
    </row>
    <row r="25" ht="18" customHeight="1">
      <c r="A25" s="32" t="n"/>
      <c r="B25" s="32" t="n"/>
      <c r="C25" s="32" t="n"/>
      <c r="D25" s="32" t="n"/>
      <c r="E25" s="33" t="n"/>
      <c r="F25" s="32" t="n"/>
      <c r="G25" s="32" t="n"/>
    </row>
    <row r="26" ht="18" customHeight="1">
      <c r="A26" s="32" t="n"/>
      <c r="B26" s="32" t="n"/>
      <c r="C26" s="32" t="n"/>
      <c r="D26" s="32" t="n"/>
      <c r="E26" s="33" t="n"/>
      <c r="F26" s="32" t="n"/>
      <c r="G26" s="32" t="n"/>
    </row>
    <row r="27" ht="18" customHeight="1">
      <c r="A27" s="32" t="n"/>
      <c r="B27" s="32" t="n"/>
      <c r="C27" s="32" t="n"/>
      <c r="D27" s="32" t="n"/>
      <c r="E27" s="33" t="n"/>
      <c r="F27" s="32" t="n"/>
      <c r="G27" s="32" t="n"/>
    </row>
    <row r="28" ht="18" customHeight="1">
      <c r="A28" s="32" t="n"/>
      <c r="B28" s="32" t="n"/>
      <c r="C28" s="32" t="n"/>
      <c r="D28" s="32" t="n"/>
      <c r="E28" s="33" t="n"/>
      <c r="F28" s="32" t="n"/>
      <c r="G28" s="32" t="n"/>
    </row>
    <row r="29" ht="18" customHeight="1">
      <c r="A29" s="32" t="n"/>
      <c r="B29" s="32" t="n"/>
      <c r="C29" s="32" t="n"/>
      <c r="D29" s="32" t="n"/>
      <c r="E29" s="33" t="n"/>
      <c r="F29" s="32" t="n"/>
      <c r="G29" s="32" t="n"/>
    </row>
    <row r="30" ht="18" customHeight="1">
      <c r="A30" s="32" t="n"/>
      <c r="B30" s="32" t="n"/>
      <c r="C30" s="32" t="n"/>
      <c r="D30" s="32" t="n"/>
      <c r="E30" s="33" t="n"/>
      <c r="F30" s="32" t="n"/>
      <c r="G30" s="32" t="n"/>
    </row>
    <row r="31" ht="18" customHeight="1">
      <c r="A31" s="32" t="n"/>
      <c r="B31" s="32" t="n"/>
      <c r="C31" s="32" t="n"/>
      <c r="D31" s="32" t="n"/>
      <c r="E31" s="33" t="n"/>
      <c r="F31" s="32" t="n"/>
      <c r="G31" s="32" t="n"/>
    </row>
    <row r="32" ht="18" customHeight="1">
      <c r="A32" s="32" t="n"/>
      <c r="B32" s="32" t="n"/>
      <c r="C32" s="32" t="n"/>
      <c r="D32" s="32" t="n"/>
      <c r="E32" s="33" t="n"/>
      <c r="F32" s="32" t="n"/>
      <c r="G32" s="32" t="n"/>
    </row>
    <row r="33" ht="18" customHeight="1">
      <c r="A33" s="32" t="n"/>
      <c r="B33" s="32" t="n"/>
      <c r="C33" s="32" t="n"/>
      <c r="D33" s="32" t="n"/>
      <c r="E33" s="33" t="n"/>
      <c r="F33" s="32" t="n"/>
      <c r="G33" s="32" t="n"/>
    </row>
    <row r="34" ht="18" customHeight="1">
      <c r="A34" s="32" t="n"/>
      <c r="B34" s="32" t="n"/>
      <c r="C34" s="32" t="n"/>
      <c r="D34" s="32" t="n"/>
      <c r="E34" s="33" t="n"/>
      <c r="F34" s="32" t="n"/>
      <c r="G34" s="32" t="n"/>
    </row>
    <row r="35" ht="18" customHeight="1">
      <c r="A35" s="32" t="n"/>
      <c r="B35" s="32" t="n"/>
      <c r="C35" s="32" t="n"/>
      <c r="D35" s="32" t="n"/>
      <c r="E35" s="33" t="n"/>
      <c r="F35" s="32" t="n"/>
      <c r="G35" s="32" t="n"/>
    </row>
    <row r="36" ht="18" customHeight="1">
      <c r="A36" s="32" t="n"/>
      <c r="B36" s="32" t="n"/>
      <c r="C36" s="32" t="n"/>
      <c r="D36" s="32" t="n"/>
      <c r="E36" s="33" t="n"/>
      <c r="F36" s="32" t="n"/>
      <c r="G36" s="32" t="n"/>
    </row>
    <row r="37" ht="18" customHeight="1">
      <c r="A37" s="32" t="n"/>
      <c r="B37" s="32" t="n"/>
      <c r="C37" s="32" t="n"/>
      <c r="D37" s="32" t="n"/>
      <c r="E37" s="33" t="n"/>
      <c r="F37" s="32" t="n"/>
      <c r="G37" s="32" t="n"/>
    </row>
    <row r="38" ht="18" customHeight="1">
      <c r="A38" s="32" t="n"/>
      <c r="B38" s="32" t="n"/>
      <c r="C38" s="32" t="n"/>
      <c r="D38" s="32" t="n"/>
      <c r="E38" s="33" t="n"/>
      <c r="F38" s="32" t="n"/>
      <c r="G38" s="32" t="n"/>
    </row>
    <row r="39" ht="18" customHeight="1">
      <c r="A39" s="32" t="n"/>
      <c r="B39" s="32" t="n"/>
      <c r="C39" s="32" t="n"/>
      <c r="D39" s="32" t="n"/>
      <c r="E39" s="33" t="n"/>
      <c r="F39" s="32" t="n"/>
      <c r="G39" s="32" t="n"/>
    </row>
    <row r="40" ht="18" customHeight="1">
      <c r="A40" s="32" t="n"/>
      <c r="B40" s="32" t="n"/>
      <c r="C40" s="32" t="n"/>
      <c r="D40" s="32" t="n"/>
      <c r="E40" s="33" t="n"/>
      <c r="F40" s="32" t="n"/>
      <c r="G40" s="32" t="n"/>
    </row>
    <row r="41" ht="18" customHeight="1">
      <c r="A41" s="32" t="n"/>
      <c r="B41" s="32" t="n"/>
      <c r="C41" s="32" t="n"/>
      <c r="D41" s="32" t="n"/>
      <c r="E41" s="33" t="n"/>
      <c r="F41" s="32" t="n"/>
      <c r="G41" s="32" t="n"/>
    </row>
    <row r="42" ht="18" customHeight="1">
      <c r="A42" s="32" t="n"/>
      <c r="B42" s="32" t="n"/>
      <c r="C42" s="32" t="n"/>
      <c r="D42" s="32" t="n"/>
      <c r="E42" s="33" t="n"/>
      <c r="F42" s="32" t="n"/>
      <c r="G42" s="32" t="n"/>
    </row>
    <row r="43" ht="18" customHeight="1">
      <c r="A43" s="32" t="n"/>
      <c r="B43" s="32" t="n"/>
      <c r="C43" s="32" t="n"/>
      <c r="D43" s="32" t="n"/>
      <c r="E43" s="33" t="n"/>
      <c r="F43" s="32" t="n"/>
      <c r="G43" s="32" t="n"/>
    </row>
    <row r="44" ht="18" customHeight="1">
      <c r="A44" s="32" t="n"/>
      <c r="B44" s="32" t="n"/>
      <c r="C44" s="32" t="n"/>
      <c r="D44" s="32" t="n"/>
      <c r="E44" s="33" t="n"/>
      <c r="F44" s="32" t="n"/>
      <c r="G44" s="32" t="n"/>
    </row>
    <row r="45" ht="18" customHeight="1">
      <c r="A45" s="32" t="n"/>
      <c r="B45" s="32" t="n"/>
      <c r="C45" s="32" t="n"/>
      <c r="D45" s="32" t="n"/>
      <c r="E45" s="33" t="n"/>
      <c r="F45" s="32" t="n"/>
      <c r="G45" s="32" t="n"/>
    </row>
    <row r="46" ht="18" customHeight="1">
      <c r="A46" s="32" t="n"/>
      <c r="B46" s="32" t="n"/>
      <c r="C46" s="32" t="n"/>
      <c r="D46" s="32" t="n"/>
      <c r="E46" s="33" t="n"/>
      <c r="F46" s="32" t="n"/>
      <c r="G46" s="32" t="n"/>
    </row>
    <row r="47" ht="18" customHeight="1">
      <c r="A47" s="32" t="n"/>
      <c r="B47" s="32" t="n"/>
      <c r="C47" s="32" t="n"/>
      <c r="D47" s="32" t="n"/>
      <c r="E47" s="33" t="n"/>
      <c r="F47" s="32" t="n"/>
      <c r="G47" s="32" t="n"/>
    </row>
    <row r="48" ht="18" customHeight="1">
      <c r="A48" s="32" t="n"/>
      <c r="B48" s="32" t="n"/>
      <c r="C48" s="32" t="n"/>
      <c r="D48" s="32" t="n"/>
      <c r="E48" s="33" t="n"/>
      <c r="F48" s="32" t="n"/>
      <c r="G48" s="32" t="n"/>
    </row>
    <row r="49" ht="18" customHeight="1">
      <c r="A49" s="32" t="n"/>
      <c r="B49" s="32" t="n"/>
      <c r="C49" s="32" t="n"/>
      <c r="D49" s="32" t="n"/>
      <c r="E49" s="33" t="n"/>
      <c r="F49" s="32" t="n"/>
      <c r="G49" s="32" t="n"/>
    </row>
    <row r="50" ht="18" customHeight="1">
      <c r="A50" s="32" t="n"/>
      <c r="B50" s="32" t="n"/>
      <c r="C50" s="32" t="n"/>
      <c r="D50" s="32" t="n"/>
      <c r="E50" s="33" t="n"/>
      <c r="F50" s="32" t="n"/>
      <c r="G50" s="32" t="n"/>
    </row>
    <row r="51" ht="18" customHeight="1">
      <c r="A51" s="32" t="n"/>
      <c r="B51" s="32" t="n"/>
      <c r="C51" s="32" t="n"/>
      <c r="D51" s="32" t="n"/>
      <c r="E51" s="33" t="n"/>
      <c r="F51" s="32" t="n"/>
      <c r="G51" s="32" t="n"/>
    </row>
    <row r="52" ht="18" customHeight="1">
      <c r="A52" s="32" t="n"/>
      <c r="B52" s="32" t="n"/>
      <c r="C52" s="32" t="n"/>
      <c r="D52" s="32" t="n"/>
      <c r="E52" s="33" t="n"/>
      <c r="F52" s="32" t="n"/>
      <c r="G52" s="32" t="n"/>
    </row>
    <row r="53" ht="18" customHeight="1">
      <c r="A53" s="32" t="n"/>
      <c r="B53" s="32" t="n"/>
      <c r="C53" s="32" t="n"/>
      <c r="D53" s="32" t="n"/>
      <c r="E53" s="33" t="n"/>
      <c r="F53" s="32" t="n"/>
      <c r="G53" s="32" t="n"/>
    </row>
    <row r="54" ht="18" customHeight="1">
      <c r="A54" s="32" t="n"/>
      <c r="B54" s="32" t="n"/>
      <c r="C54" s="32" t="n"/>
      <c r="D54" s="32" t="n"/>
      <c r="E54" s="33" t="n"/>
      <c r="F54" s="32" t="n"/>
      <c r="G54" s="32" t="n"/>
    </row>
    <row r="55" ht="18" customHeight="1">
      <c r="A55" s="32" t="n"/>
      <c r="B55" s="32" t="n"/>
      <c r="C55" s="32" t="n"/>
      <c r="D55" s="32" t="n"/>
      <c r="E55" s="33" t="n"/>
      <c r="F55" s="32" t="n"/>
      <c r="G55" s="32" t="n"/>
    </row>
    <row r="56" ht="18" customHeight="1">
      <c r="A56" s="32" t="n"/>
      <c r="B56" s="32" t="n"/>
      <c r="C56" s="32" t="n"/>
      <c r="D56" s="32" t="n"/>
      <c r="E56" s="33" t="n"/>
      <c r="F56" s="32" t="n"/>
      <c r="G56" s="32" t="n"/>
    </row>
    <row r="57" ht="18" customHeight="1">
      <c r="A57" s="32" t="n"/>
      <c r="B57" s="32" t="n"/>
      <c r="C57" s="32" t="n"/>
      <c r="D57" s="32" t="n"/>
      <c r="E57" s="33" t="n"/>
      <c r="F57" s="32" t="n"/>
      <c r="G57" s="32" t="n"/>
    </row>
  </sheetData>
  <mergeCells count="7">
    <mergeCell ref="A4:B4"/>
    <mergeCell ref="C4:G4"/>
    <mergeCell ref="E2:G2"/>
    <mergeCell ref="A6:G6"/>
    <mergeCell ref="A5:B5"/>
    <mergeCell ref="C5:G5"/>
    <mergeCell ref="A2:D2"/>
  </mergeCells>
  <conditionalFormatting sqref="A8:G57">
    <cfRule type="expression" priority="1" dxfId="4" stopIfTrue="0">
      <formula>AND($A8&lt;&gt;"",MOD(ROW(),2)=0)</formula>
    </cfRule>
  </conditionalFormatting>
  <dataValidations count="1">
    <dataValidation sqref="D8:D57" showDropDown="0" showInputMessage="0" showErrorMessage="0" allowBlank="1" type="list">
      <formula1>YesNoList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2:K207"/>
  <sheetViews>
    <sheetView showGridLines="0" workbookViewId="0">
      <pane ySplit="7" topLeftCell="A8" activePane="bottomLeft" state="frozen"/>
      <selection pane="bottomLeft" activeCell="A1" sqref="A1"/>
    </sheetView>
  </sheetViews>
  <sheetFormatPr baseColWidth="8" defaultRowHeight="15"/>
  <cols>
    <col width="20" customWidth="1" min="1" max="1"/>
    <col width="22" customWidth="1" min="2" max="2"/>
    <col width="15" customWidth="1" min="3" max="3"/>
    <col width="30" customWidth="1" min="4" max="4"/>
    <col width="34" customWidth="1" min="5" max="5"/>
    <col width="18" customWidth="1" min="6" max="6"/>
    <col width="14" customWidth="1" min="7" max="7"/>
    <col width="15" customWidth="1" min="8" max="8"/>
    <col width="18" customWidth="1" min="9" max="9"/>
    <col width="11" customWidth="1" min="10" max="10"/>
    <col width="34" customWidth="1" min="11" max="11"/>
  </cols>
  <sheetData>
    <row r="1" ht="6" customHeight="1"/>
    <row r="2" ht="30" customHeight="1">
      <c r="A2" s="13" t="inlineStr">
        <is>
          <t>Networking</t>
        </is>
      </c>
      <c r="G2" s="14" t="inlineStr">
        <is>
          <t>Aussie Grad Careers</t>
        </is>
      </c>
    </row>
    <row r="3" ht="4" customHeight="1">
      <c r="A3" s="2" t="n"/>
      <c r="B3" s="2" t="n"/>
      <c r="C3" s="2" t="n"/>
      <c r="D3" s="2" t="n"/>
      <c r="E3" s="2" t="n"/>
      <c r="F3" s="2" t="n"/>
      <c r="G3" s="2" t="n"/>
      <c r="H3" s="2" t="n"/>
      <c r="I3" s="2" t="n"/>
      <c r="J3" s="2" t="n"/>
      <c r="K3" s="2" t="n"/>
    </row>
    <row r="4" ht="16" customHeight="1">
      <c r="A4" s="15" t="inlineStr">
        <is>
          <t>PEOPLE IN PLAY</t>
        </is>
      </c>
      <c r="C4" s="16" t="inlineStr">
        <is>
          <t>CONVERSATIONS OPEN</t>
        </is>
      </c>
      <c r="F4" s="16" t="inlineStr">
        <is>
          <t>NEXT STEPS DUE</t>
        </is>
      </c>
      <c r="I4" s="16" t="inlineStr">
        <is>
          <t>REPLIED</t>
        </is>
      </c>
    </row>
    <row r="5" ht="28" customHeight="1">
      <c r="A5" s="17">
        <f>COUNTA($A$8:$A$207)</f>
        <v/>
      </c>
      <c r="C5" s="18">
        <f>COUNTIF($F$8:$F$207,"Connected")+COUNTIF($F$8:$F$207,"Message 2 sent")+COUNTIF($F$8:$F$207,"Message 3 sent")</f>
        <v/>
      </c>
      <c r="F5" s="18">
        <f>COUNTIF($I$8:$I$207,"Due*")</f>
        <v/>
      </c>
      <c r="I5" s="18">
        <f>COUNTIF($J$8:$J$207,"Yes")</f>
        <v/>
      </c>
    </row>
    <row r="6" ht="15" customHeight="1">
      <c r="A6" s="19">
        <f>IF(COUNTA($A$8:$A$207)&gt;=20,"a working list","20 to 30 is a working list")</f>
        <v/>
      </c>
      <c r="B6" s="20" t="n"/>
      <c r="C6" s="21">
        <f>"past the connection, not yet closed"</f>
        <v/>
      </c>
      <c r="D6" s="20" t="n"/>
      <c r="E6" s="20" t="n"/>
      <c r="F6" s="21">
        <f>IF(COUNTIF($I$8:$I$207,"Due*")=0,"nothing owing today","reply owed today or overdue")</f>
        <v/>
      </c>
      <c r="G6" s="20" t="n"/>
      <c r="H6" s="20" t="n"/>
      <c r="I6" s="21">
        <f>IF(COUNTA($A$8:$A$207)=0,"",TEXT(COUNTIF($J$8:$J$207,"Yes")/MAX(1,COUNTA($A$8:$A$207)),"0%")&amp;" of the people you contacted")</f>
        <v/>
      </c>
      <c r="J6" s="20" t="n"/>
      <c r="K6" s="20" t="n"/>
    </row>
    <row r="7" ht="30" customHeight="1">
      <c r="A7" s="31" t="inlineStr">
        <is>
          <t>Name</t>
        </is>
      </c>
      <c r="B7" s="31" t="inlineStr">
        <is>
          <t>Company</t>
        </is>
      </c>
      <c r="C7" s="31" t="inlineStr">
        <is>
          <t>Junior or senior</t>
        </is>
      </c>
      <c r="D7" s="31" t="inlineStr">
        <is>
          <t>Shared thread</t>
        </is>
      </c>
      <c r="E7" s="31" t="inlineStr">
        <is>
          <t>Topic: what their work is about</t>
        </is>
      </c>
      <c r="F7" s="31" t="inlineStr">
        <is>
          <t>Stage</t>
        </is>
      </c>
      <c r="G7" s="31" t="inlineStr">
        <is>
          <t>Last contact</t>
        </is>
      </c>
      <c r="H7" s="34" t="inlineStr">
        <is>
          <t>Next step due
(auto)</t>
        </is>
      </c>
      <c r="I7" s="34" t="inlineStr">
        <is>
          <t>Due?
(auto)</t>
        </is>
      </c>
      <c r="J7" s="31" t="inlineStr">
        <is>
          <t>Replied?</t>
        </is>
      </c>
      <c r="K7" s="31" t="inlineStr">
        <is>
          <t>Notes</t>
        </is>
      </c>
    </row>
    <row r="8" ht="18" customHeight="1">
      <c r="A8" s="32" t="n"/>
      <c r="B8" s="32" t="n"/>
      <c r="C8" s="32" t="n"/>
      <c r="D8" s="32" t="n"/>
      <c r="E8" s="32" t="n"/>
      <c r="F8" s="32" t="n"/>
      <c r="G8" s="33" t="n"/>
      <c r="H8" s="35">
        <f>IF($G8="","",$G8+4)</f>
        <v/>
      </c>
      <c r="I8" s="36">
        <f>IF($G8="","",IF(OR($F8="Closed",$F8="Spoke"),"-",IF(TODAY()&gt;$H8,"Due, "&amp;(TODAY()-$H8)&amp;"d late",IF(TODAY()=$H8,"Due today","in "&amp;($H8-TODAY())&amp;"d"))))</f>
        <v/>
      </c>
      <c r="J8" s="32" t="n"/>
      <c r="K8" s="32" t="n"/>
    </row>
    <row r="9" ht="18" customHeight="1">
      <c r="A9" s="32" t="n"/>
      <c r="B9" s="32" t="n"/>
      <c r="C9" s="32" t="n"/>
      <c r="D9" s="32" t="n"/>
      <c r="E9" s="32" t="n"/>
      <c r="F9" s="32" t="n"/>
      <c r="G9" s="33" t="n"/>
      <c r="H9" s="35">
        <f>IF($G9="","",$G9+4)</f>
        <v/>
      </c>
      <c r="I9" s="36">
        <f>IF($G9="","",IF(OR($F9="Closed",$F9="Spoke"),"-",IF(TODAY()&gt;$H9,"Due, "&amp;(TODAY()-$H9)&amp;"d late",IF(TODAY()=$H9,"Due today","in "&amp;($H9-TODAY())&amp;"d"))))</f>
        <v/>
      </c>
      <c r="J9" s="32" t="n"/>
      <c r="K9" s="32" t="n"/>
    </row>
    <row r="10" ht="18" customHeight="1">
      <c r="A10" s="32" t="n"/>
      <c r="B10" s="32" t="n"/>
      <c r="C10" s="32" t="n"/>
      <c r="D10" s="32" t="n"/>
      <c r="E10" s="32" t="n"/>
      <c r="F10" s="32" t="n"/>
      <c r="G10" s="33" t="n"/>
      <c r="H10" s="35">
        <f>IF($G10="","",$G10+4)</f>
        <v/>
      </c>
      <c r="I10" s="36">
        <f>IF($G10="","",IF(OR($F10="Closed",$F10="Spoke"),"-",IF(TODAY()&gt;$H10,"Due, "&amp;(TODAY()-$H10)&amp;"d late",IF(TODAY()=$H10,"Due today","in "&amp;($H10-TODAY())&amp;"d"))))</f>
        <v/>
      </c>
      <c r="J10" s="32" t="n"/>
      <c r="K10" s="32" t="n"/>
    </row>
    <row r="11" ht="18" customHeight="1">
      <c r="A11" s="32" t="n"/>
      <c r="B11" s="32" t="n"/>
      <c r="C11" s="32" t="n"/>
      <c r="D11" s="32" t="n"/>
      <c r="E11" s="32" t="n"/>
      <c r="F11" s="32" t="n"/>
      <c r="G11" s="33" t="n"/>
      <c r="H11" s="35">
        <f>IF($G11="","",$G11+4)</f>
        <v/>
      </c>
      <c r="I11" s="36">
        <f>IF($G11="","",IF(OR($F11="Closed",$F11="Spoke"),"-",IF(TODAY()&gt;$H11,"Due, "&amp;(TODAY()-$H11)&amp;"d late",IF(TODAY()=$H11,"Due today","in "&amp;($H11-TODAY())&amp;"d"))))</f>
        <v/>
      </c>
      <c r="J11" s="32" t="n"/>
      <c r="K11" s="32" t="n"/>
    </row>
    <row r="12" ht="18" customHeight="1">
      <c r="A12" s="32" t="n"/>
      <c r="B12" s="32" t="n"/>
      <c r="C12" s="32" t="n"/>
      <c r="D12" s="32" t="n"/>
      <c r="E12" s="32" t="n"/>
      <c r="F12" s="32" t="n"/>
      <c r="G12" s="33" t="n"/>
      <c r="H12" s="35">
        <f>IF($G12="","",$G12+4)</f>
        <v/>
      </c>
      <c r="I12" s="36">
        <f>IF($G12="","",IF(OR($F12="Closed",$F12="Spoke"),"-",IF(TODAY()&gt;$H12,"Due, "&amp;(TODAY()-$H12)&amp;"d late",IF(TODAY()=$H12,"Due today","in "&amp;($H12-TODAY())&amp;"d"))))</f>
        <v/>
      </c>
      <c r="J12" s="32" t="n"/>
      <c r="K12" s="32" t="n"/>
    </row>
    <row r="13" ht="18" customHeight="1">
      <c r="A13" s="32" t="n"/>
      <c r="B13" s="32" t="n"/>
      <c r="C13" s="32" t="n"/>
      <c r="D13" s="32" t="n"/>
      <c r="E13" s="32" t="n"/>
      <c r="F13" s="32" t="n"/>
      <c r="G13" s="33" t="n"/>
      <c r="H13" s="35">
        <f>IF($G13="","",$G13+4)</f>
        <v/>
      </c>
      <c r="I13" s="36">
        <f>IF($G13="","",IF(OR($F13="Closed",$F13="Spoke"),"-",IF(TODAY()&gt;$H13,"Due, "&amp;(TODAY()-$H13)&amp;"d late",IF(TODAY()=$H13,"Due today","in "&amp;($H13-TODAY())&amp;"d"))))</f>
        <v/>
      </c>
      <c r="J13" s="32" t="n"/>
      <c r="K13" s="32" t="n"/>
    </row>
    <row r="14" ht="18" customHeight="1">
      <c r="A14" s="32" t="n"/>
      <c r="B14" s="32" t="n"/>
      <c r="C14" s="32" t="n"/>
      <c r="D14" s="32" t="n"/>
      <c r="E14" s="32" t="n"/>
      <c r="F14" s="32" t="n"/>
      <c r="G14" s="33" t="n"/>
      <c r="H14" s="35">
        <f>IF($G14="","",$G14+4)</f>
        <v/>
      </c>
      <c r="I14" s="36">
        <f>IF($G14="","",IF(OR($F14="Closed",$F14="Spoke"),"-",IF(TODAY()&gt;$H14,"Due, "&amp;(TODAY()-$H14)&amp;"d late",IF(TODAY()=$H14,"Due today","in "&amp;($H14-TODAY())&amp;"d"))))</f>
        <v/>
      </c>
      <c r="J14" s="32" t="n"/>
      <c r="K14" s="32" t="n"/>
    </row>
    <row r="15" ht="18" customHeight="1">
      <c r="A15" s="32" t="n"/>
      <c r="B15" s="32" t="n"/>
      <c r="C15" s="32" t="n"/>
      <c r="D15" s="32" t="n"/>
      <c r="E15" s="32" t="n"/>
      <c r="F15" s="32" t="n"/>
      <c r="G15" s="33" t="n"/>
      <c r="H15" s="35">
        <f>IF($G15="","",$G15+4)</f>
        <v/>
      </c>
      <c r="I15" s="36">
        <f>IF($G15="","",IF(OR($F15="Closed",$F15="Spoke"),"-",IF(TODAY()&gt;$H15,"Due, "&amp;(TODAY()-$H15)&amp;"d late",IF(TODAY()=$H15,"Due today","in "&amp;($H15-TODAY())&amp;"d"))))</f>
        <v/>
      </c>
      <c r="J15" s="32" t="n"/>
      <c r="K15" s="32" t="n"/>
    </row>
    <row r="16" ht="18" customHeight="1">
      <c r="A16" s="32" t="n"/>
      <c r="B16" s="32" t="n"/>
      <c r="C16" s="32" t="n"/>
      <c r="D16" s="32" t="n"/>
      <c r="E16" s="32" t="n"/>
      <c r="F16" s="32" t="n"/>
      <c r="G16" s="33" t="n"/>
      <c r="H16" s="35">
        <f>IF($G16="","",$G16+4)</f>
        <v/>
      </c>
      <c r="I16" s="36">
        <f>IF($G16="","",IF(OR($F16="Closed",$F16="Spoke"),"-",IF(TODAY()&gt;$H16,"Due, "&amp;(TODAY()-$H16)&amp;"d late",IF(TODAY()=$H16,"Due today","in "&amp;($H16-TODAY())&amp;"d"))))</f>
        <v/>
      </c>
      <c r="J16" s="32" t="n"/>
      <c r="K16" s="32" t="n"/>
    </row>
    <row r="17" ht="18" customHeight="1">
      <c r="A17" s="32" t="n"/>
      <c r="B17" s="32" t="n"/>
      <c r="C17" s="32" t="n"/>
      <c r="D17" s="32" t="n"/>
      <c r="E17" s="32" t="n"/>
      <c r="F17" s="32" t="n"/>
      <c r="G17" s="33" t="n"/>
      <c r="H17" s="35">
        <f>IF($G17="","",$G17+4)</f>
        <v/>
      </c>
      <c r="I17" s="36">
        <f>IF($G17="","",IF(OR($F17="Closed",$F17="Spoke"),"-",IF(TODAY()&gt;$H17,"Due, "&amp;(TODAY()-$H17)&amp;"d late",IF(TODAY()=$H17,"Due today","in "&amp;($H17-TODAY())&amp;"d"))))</f>
        <v/>
      </c>
      <c r="J17" s="32" t="n"/>
      <c r="K17" s="32" t="n"/>
    </row>
    <row r="18" ht="18" customHeight="1">
      <c r="A18" s="32" t="n"/>
      <c r="B18" s="32" t="n"/>
      <c r="C18" s="32" t="n"/>
      <c r="D18" s="32" t="n"/>
      <c r="E18" s="32" t="n"/>
      <c r="F18" s="32" t="n"/>
      <c r="G18" s="33" t="n"/>
      <c r="H18" s="35">
        <f>IF($G18="","",$G18+4)</f>
        <v/>
      </c>
      <c r="I18" s="36">
        <f>IF($G18="","",IF(OR($F18="Closed",$F18="Spoke"),"-",IF(TODAY()&gt;$H18,"Due, "&amp;(TODAY()-$H18)&amp;"d late",IF(TODAY()=$H18,"Due today","in "&amp;($H18-TODAY())&amp;"d"))))</f>
        <v/>
      </c>
      <c r="J18" s="32" t="n"/>
      <c r="K18" s="32" t="n"/>
    </row>
    <row r="19" ht="18" customHeight="1">
      <c r="A19" s="32" t="n"/>
      <c r="B19" s="32" t="n"/>
      <c r="C19" s="32" t="n"/>
      <c r="D19" s="32" t="n"/>
      <c r="E19" s="32" t="n"/>
      <c r="F19" s="32" t="n"/>
      <c r="G19" s="33" t="n"/>
      <c r="H19" s="35">
        <f>IF($G19="","",$G19+4)</f>
        <v/>
      </c>
      <c r="I19" s="36">
        <f>IF($G19="","",IF(OR($F19="Closed",$F19="Spoke"),"-",IF(TODAY()&gt;$H19,"Due, "&amp;(TODAY()-$H19)&amp;"d late",IF(TODAY()=$H19,"Due today","in "&amp;($H19-TODAY())&amp;"d"))))</f>
        <v/>
      </c>
      <c r="J19" s="32" t="n"/>
      <c r="K19" s="32" t="n"/>
    </row>
    <row r="20" ht="18" customHeight="1">
      <c r="A20" s="32" t="n"/>
      <c r="B20" s="32" t="n"/>
      <c r="C20" s="32" t="n"/>
      <c r="D20" s="32" t="n"/>
      <c r="E20" s="32" t="n"/>
      <c r="F20" s="32" t="n"/>
      <c r="G20" s="33" t="n"/>
      <c r="H20" s="35">
        <f>IF($G20="","",$G20+4)</f>
        <v/>
      </c>
      <c r="I20" s="36">
        <f>IF($G20="","",IF(OR($F20="Closed",$F20="Spoke"),"-",IF(TODAY()&gt;$H20,"Due, "&amp;(TODAY()-$H20)&amp;"d late",IF(TODAY()=$H20,"Due today","in "&amp;($H20-TODAY())&amp;"d"))))</f>
        <v/>
      </c>
      <c r="J20" s="32" t="n"/>
      <c r="K20" s="32" t="n"/>
    </row>
    <row r="21" ht="18" customHeight="1">
      <c r="A21" s="32" t="n"/>
      <c r="B21" s="32" t="n"/>
      <c r="C21" s="32" t="n"/>
      <c r="D21" s="32" t="n"/>
      <c r="E21" s="32" t="n"/>
      <c r="F21" s="32" t="n"/>
      <c r="G21" s="33" t="n"/>
      <c r="H21" s="35">
        <f>IF($G21="","",$G21+4)</f>
        <v/>
      </c>
      <c r="I21" s="36">
        <f>IF($G21="","",IF(OR($F21="Closed",$F21="Spoke"),"-",IF(TODAY()&gt;$H21,"Due, "&amp;(TODAY()-$H21)&amp;"d late",IF(TODAY()=$H21,"Due today","in "&amp;($H21-TODAY())&amp;"d"))))</f>
        <v/>
      </c>
      <c r="J21" s="32" t="n"/>
      <c r="K21" s="32" t="n"/>
    </row>
    <row r="22" ht="18" customHeight="1">
      <c r="A22" s="32" t="n"/>
      <c r="B22" s="32" t="n"/>
      <c r="C22" s="32" t="n"/>
      <c r="D22" s="32" t="n"/>
      <c r="E22" s="32" t="n"/>
      <c r="F22" s="32" t="n"/>
      <c r="G22" s="33" t="n"/>
      <c r="H22" s="35">
        <f>IF($G22="","",$G22+4)</f>
        <v/>
      </c>
      <c r="I22" s="36">
        <f>IF($G22="","",IF(OR($F22="Closed",$F22="Spoke"),"-",IF(TODAY()&gt;$H22,"Due, "&amp;(TODAY()-$H22)&amp;"d late",IF(TODAY()=$H22,"Due today","in "&amp;($H22-TODAY())&amp;"d"))))</f>
        <v/>
      </c>
      <c r="J22" s="32" t="n"/>
      <c r="K22" s="32" t="n"/>
    </row>
    <row r="23" ht="18" customHeight="1">
      <c r="A23" s="32" t="n"/>
      <c r="B23" s="32" t="n"/>
      <c r="C23" s="32" t="n"/>
      <c r="D23" s="32" t="n"/>
      <c r="E23" s="32" t="n"/>
      <c r="F23" s="32" t="n"/>
      <c r="G23" s="33" t="n"/>
      <c r="H23" s="35">
        <f>IF($G23="","",$G23+4)</f>
        <v/>
      </c>
      <c r="I23" s="36">
        <f>IF($G23="","",IF(OR($F23="Closed",$F23="Spoke"),"-",IF(TODAY()&gt;$H23,"Due, "&amp;(TODAY()-$H23)&amp;"d late",IF(TODAY()=$H23,"Due today","in "&amp;($H23-TODAY())&amp;"d"))))</f>
        <v/>
      </c>
      <c r="J23" s="32" t="n"/>
      <c r="K23" s="32" t="n"/>
    </row>
    <row r="24" ht="18" customHeight="1">
      <c r="A24" s="32" t="n"/>
      <c r="B24" s="32" t="n"/>
      <c r="C24" s="32" t="n"/>
      <c r="D24" s="32" t="n"/>
      <c r="E24" s="32" t="n"/>
      <c r="F24" s="32" t="n"/>
      <c r="G24" s="33" t="n"/>
      <c r="H24" s="35">
        <f>IF($G24="","",$G24+4)</f>
        <v/>
      </c>
      <c r="I24" s="36">
        <f>IF($G24="","",IF(OR($F24="Closed",$F24="Spoke"),"-",IF(TODAY()&gt;$H24,"Due, "&amp;(TODAY()-$H24)&amp;"d late",IF(TODAY()=$H24,"Due today","in "&amp;($H24-TODAY())&amp;"d"))))</f>
        <v/>
      </c>
      <c r="J24" s="32" t="n"/>
      <c r="K24" s="32" t="n"/>
    </row>
    <row r="25" ht="18" customHeight="1">
      <c r="A25" s="32" t="n"/>
      <c r="B25" s="32" t="n"/>
      <c r="C25" s="32" t="n"/>
      <c r="D25" s="32" t="n"/>
      <c r="E25" s="32" t="n"/>
      <c r="F25" s="32" t="n"/>
      <c r="G25" s="33" t="n"/>
      <c r="H25" s="35">
        <f>IF($G25="","",$G25+4)</f>
        <v/>
      </c>
      <c r="I25" s="36">
        <f>IF($G25="","",IF(OR($F25="Closed",$F25="Spoke"),"-",IF(TODAY()&gt;$H25,"Due, "&amp;(TODAY()-$H25)&amp;"d late",IF(TODAY()=$H25,"Due today","in "&amp;($H25-TODAY())&amp;"d"))))</f>
        <v/>
      </c>
      <c r="J25" s="32" t="n"/>
      <c r="K25" s="32" t="n"/>
    </row>
    <row r="26" ht="18" customHeight="1">
      <c r="A26" s="32" t="n"/>
      <c r="B26" s="32" t="n"/>
      <c r="C26" s="32" t="n"/>
      <c r="D26" s="32" t="n"/>
      <c r="E26" s="32" t="n"/>
      <c r="F26" s="32" t="n"/>
      <c r="G26" s="33" t="n"/>
      <c r="H26" s="35">
        <f>IF($G26="","",$G26+4)</f>
        <v/>
      </c>
      <c r="I26" s="36">
        <f>IF($G26="","",IF(OR($F26="Closed",$F26="Spoke"),"-",IF(TODAY()&gt;$H26,"Due, "&amp;(TODAY()-$H26)&amp;"d late",IF(TODAY()=$H26,"Due today","in "&amp;($H26-TODAY())&amp;"d"))))</f>
        <v/>
      </c>
      <c r="J26" s="32" t="n"/>
      <c r="K26" s="32" t="n"/>
    </row>
    <row r="27" ht="18" customHeight="1">
      <c r="A27" s="32" t="n"/>
      <c r="B27" s="32" t="n"/>
      <c r="C27" s="32" t="n"/>
      <c r="D27" s="32" t="n"/>
      <c r="E27" s="32" t="n"/>
      <c r="F27" s="32" t="n"/>
      <c r="G27" s="33" t="n"/>
      <c r="H27" s="35">
        <f>IF($G27="","",$G27+4)</f>
        <v/>
      </c>
      <c r="I27" s="36">
        <f>IF($G27="","",IF(OR($F27="Closed",$F27="Spoke"),"-",IF(TODAY()&gt;$H27,"Due, "&amp;(TODAY()-$H27)&amp;"d late",IF(TODAY()=$H27,"Due today","in "&amp;($H27-TODAY())&amp;"d"))))</f>
        <v/>
      </c>
      <c r="J27" s="32" t="n"/>
      <c r="K27" s="32" t="n"/>
    </row>
    <row r="28" ht="18" customHeight="1">
      <c r="A28" s="32" t="n"/>
      <c r="B28" s="32" t="n"/>
      <c r="C28" s="32" t="n"/>
      <c r="D28" s="32" t="n"/>
      <c r="E28" s="32" t="n"/>
      <c r="F28" s="32" t="n"/>
      <c r="G28" s="33" t="n"/>
      <c r="H28" s="35">
        <f>IF($G28="","",$G28+4)</f>
        <v/>
      </c>
      <c r="I28" s="36">
        <f>IF($G28="","",IF(OR($F28="Closed",$F28="Spoke"),"-",IF(TODAY()&gt;$H28,"Due, "&amp;(TODAY()-$H28)&amp;"d late",IF(TODAY()=$H28,"Due today","in "&amp;($H28-TODAY())&amp;"d"))))</f>
        <v/>
      </c>
      <c r="J28" s="32" t="n"/>
      <c r="K28" s="32" t="n"/>
    </row>
    <row r="29" ht="18" customHeight="1">
      <c r="A29" s="32" t="n"/>
      <c r="B29" s="32" t="n"/>
      <c r="C29" s="32" t="n"/>
      <c r="D29" s="32" t="n"/>
      <c r="E29" s="32" t="n"/>
      <c r="F29" s="32" t="n"/>
      <c r="G29" s="33" t="n"/>
      <c r="H29" s="35">
        <f>IF($G29="","",$G29+4)</f>
        <v/>
      </c>
      <c r="I29" s="36">
        <f>IF($G29="","",IF(OR($F29="Closed",$F29="Spoke"),"-",IF(TODAY()&gt;$H29,"Due, "&amp;(TODAY()-$H29)&amp;"d late",IF(TODAY()=$H29,"Due today","in "&amp;($H29-TODAY())&amp;"d"))))</f>
        <v/>
      </c>
      <c r="J29" s="32" t="n"/>
      <c r="K29" s="32" t="n"/>
    </row>
    <row r="30" ht="18" customHeight="1">
      <c r="A30" s="32" t="n"/>
      <c r="B30" s="32" t="n"/>
      <c r="C30" s="32" t="n"/>
      <c r="D30" s="32" t="n"/>
      <c r="E30" s="32" t="n"/>
      <c r="F30" s="32" t="n"/>
      <c r="G30" s="33" t="n"/>
      <c r="H30" s="35">
        <f>IF($G30="","",$G30+4)</f>
        <v/>
      </c>
      <c r="I30" s="36">
        <f>IF($G30="","",IF(OR($F30="Closed",$F30="Spoke"),"-",IF(TODAY()&gt;$H30,"Due, "&amp;(TODAY()-$H30)&amp;"d late",IF(TODAY()=$H30,"Due today","in "&amp;($H30-TODAY())&amp;"d"))))</f>
        <v/>
      </c>
      <c r="J30" s="32" t="n"/>
      <c r="K30" s="32" t="n"/>
    </row>
    <row r="31" ht="18" customHeight="1">
      <c r="A31" s="32" t="n"/>
      <c r="B31" s="32" t="n"/>
      <c r="C31" s="32" t="n"/>
      <c r="D31" s="32" t="n"/>
      <c r="E31" s="32" t="n"/>
      <c r="F31" s="32" t="n"/>
      <c r="G31" s="33" t="n"/>
      <c r="H31" s="35">
        <f>IF($G31="","",$G31+4)</f>
        <v/>
      </c>
      <c r="I31" s="36">
        <f>IF($G31="","",IF(OR($F31="Closed",$F31="Spoke"),"-",IF(TODAY()&gt;$H31,"Due, "&amp;(TODAY()-$H31)&amp;"d late",IF(TODAY()=$H31,"Due today","in "&amp;($H31-TODAY())&amp;"d"))))</f>
        <v/>
      </c>
      <c r="J31" s="32" t="n"/>
      <c r="K31" s="32" t="n"/>
    </row>
    <row r="32" ht="18" customHeight="1">
      <c r="A32" s="32" t="n"/>
      <c r="B32" s="32" t="n"/>
      <c r="C32" s="32" t="n"/>
      <c r="D32" s="32" t="n"/>
      <c r="E32" s="32" t="n"/>
      <c r="F32" s="32" t="n"/>
      <c r="G32" s="33" t="n"/>
      <c r="H32" s="35">
        <f>IF($G32="","",$G32+4)</f>
        <v/>
      </c>
      <c r="I32" s="36">
        <f>IF($G32="","",IF(OR($F32="Closed",$F32="Spoke"),"-",IF(TODAY()&gt;$H32,"Due, "&amp;(TODAY()-$H32)&amp;"d late",IF(TODAY()=$H32,"Due today","in "&amp;($H32-TODAY())&amp;"d"))))</f>
        <v/>
      </c>
      <c r="J32" s="32" t="n"/>
      <c r="K32" s="32" t="n"/>
    </row>
    <row r="33" ht="18" customHeight="1">
      <c r="A33" s="32" t="n"/>
      <c r="B33" s="32" t="n"/>
      <c r="C33" s="32" t="n"/>
      <c r="D33" s="32" t="n"/>
      <c r="E33" s="32" t="n"/>
      <c r="F33" s="32" t="n"/>
      <c r="G33" s="33" t="n"/>
      <c r="H33" s="35">
        <f>IF($G33="","",$G33+4)</f>
        <v/>
      </c>
      <c r="I33" s="36">
        <f>IF($G33="","",IF(OR($F33="Closed",$F33="Spoke"),"-",IF(TODAY()&gt;$H33,"Due, "&amp;(TODAY()-$H33)&amp;"d late",IF(TODAY()=$H33,"Due today","in "&amp;($H33-TODAY())&amp;"d"))))</f>
        <v/>
      </c>
      <c r="J33" s="32" t="n"/>
      <c r="K33" s="32" t="n"/>
    </row>
    <row r="34" ht="18" customHeight="1">
      <c r="A34" s="32" t="n"/>
      <c r="B34" s="32" t="n"/>
      <c r="C34" s="32" t="n"/>
      <c r="D34" s="32" t="n"/>
      <c r="E34" s="32" t="n"/>
      <c r="F34" s="32" t="n"/>
      <c r="G34" s="33" t="n"/>
      <c r="H34" s="35">
        <f>IF($G34="","",$G34+4)</f>
        <v/>
      </c>
      <c r="I34" s="36">
        <f>IF($G34="","",IF(OR($F34="Closed",$F34="Spoke"),"-",IF(TODAY()&gt;$H34,"Due, "&amp;(TODAY()-$H34)&amp;"d late",IF(TODAY()=$H34,"Due today","in "&amp;($H34-TODAY())&amp;"d"))))</f>
        <v/>
      </c>
      <c r="J34" s="32" t="n"/>
      <c r="K34" s="32" t="n"/>
    </row>
    <row r="35" ht="18" customHeight="1">
      <c r="A35" s="32" t="n"/>
      <c r="B35" s="32" t="n"/>
      <c r="C35" s="32" t="n"/>
      <c r="D35" s="32" t="n"/>
      <c r="E35" s="32" t="n"/>
      <c r="F35" s="32" t="n"/>
      <c r="G35" s="33" t="n"/>
      <c r="H35" s="35">
        <f>IF($G35="","",$G35+4)</f>
        <v/>
      </c>
      <c r="I35" s="36">
        <f>IF($G35="","",IF(OR($F35="Closed",$F35="Spoke"),"-",IF(TODAY()&gt;$H35,"Due, "&amp;(TODAY()-$H35)&amp;"d late",IF(TODAY()=$H35,"Due today","in "&amp;($H35-TODAY())&amp;"d"))))</f>
        <v/>
      </c>
      <c r="J35" s="32" t="n"/>
      <c r="K35" s="32" t="n"/>
    </row>
    <row r="36" ht="18" customHeight="1">
      <c r="A36" s="32" t="n"/>
      <c r="B36" s="32" t="n"/>
      <c r="C36" s="32" t="n"/>
      <c r="D36" s="32" t="n"/>
      <c r="E36" s="32" t="n"/>
      <c r="F36" s="32" t="n"/>
      <c r="G36" s="33" t="n"/>
      <c r="H36" s="35">
        <f>IF($G36="","",$G36+4)</f>
        <v/>
      </c>
      <c r="I36" s="36">
        <f>IF($G36="","",IF(OR($F36="Closed",$F36="Spoke"),"-",IF(TODAY()&gt;$H36,"Due, "&amp;(TODAY()-$H36)&amp;"d late",IF(TODAY()=$H36,"Due today","in "&amp;($H36-TODAY())&amp;"d"))))</f>
        <v/>
      </c>
      <c r="J36" s="32" t="n"/>
      <c r="K36" s="32" t="n"/>
    </row>
    <row r="37" ht="18" customHeight="1">
      <c r="A37" s="32" t="n"/>
      <c r="B37" s="32" t="n"/>
      <c r="C37" s="32" t="n"/>
      <c r="D37" s="32" t="n"/>
      <c r="E37" s="32" t="n"/>
      <c r="F37" s="32" t="n"/>
      <c r="G37" s="33" t="n"/>
      <c r="H37" s="35">
        <f>IF($G37="","",$G37+4)</f>
        <v/>
      </c>
      <c r="I37" s="36">
        <f>IF($G37="","",IF(OR($F37="Closed",$F37="Spoke"),"-",IF(TODAY()&gt;$H37,"Due, "&amp;(TODAY()-$H37)&amp;"d late",IF(TODAY()=$H37,"Due today","in "&amp;($H37-TODAY())&amp;"d"))))</f>
        <v/>
      </c>
      <c r="J37" s="32" t="n"/>
      <c r="K37" s="32" t="n"/>
    </row>
    <row r="38" ht="18" customHeight="1">
      <c r="A38" s="32" t="n"/>
      <c r="B38" s="32" t="n"/>
      <c r="C38" s="32" t="n"/>
      <c r="D38" s="32" t="n"/>
      <c r="E38" s="32" t="n"/>
      <c r="F38" s="32" t="n"/>
      <c r="G38" s="33" t="n"/>
      <c r="H38" s="35">
        <f>IF($G38="","",$G38+4)</f>
        <v/>
      </c>
      <c r="I38" s="36">
        <f>IF($G38="","",IF(OR($F38="Closed",$F38="Spoke"),"-",IF(TODAY()&gt;$H38,"Due, "&amp;(TODAY()-$H38)&amp;"d late",IF(TODAY()=$H38,"Due today","in "&amp;($H38-TODAY())&amp;"d"))))</f>
        <v/>
      </c>
      <c r="J38" s="32" t="n"/>
      <c r="K38" s="32" t="n"/>
    </row>
    <row r="39" ht="18" customHeight="1">
      <c r="A39" s="32" t="n"/>
      <c r="B39" s="32" t="n"/>
      <c r="C39" s="32" t="n"/>
      <c r="D39" s="32" t="n"/>
      <c r="E39" s="32" t="n"/>
      <c r="F39" s="32" t="n"/>
      <c r="G39" s="33" t="n"/>
      <c r="H39" s="35">
        <f>IF($G39="","",$G39+4)</f>
        <v/>
      </c>
      <c r="I39" s="36">
        <f>IF($G39="","",IF(OR($F39="Closed",$F39="Spoke"),"-",IF(TODAY()&gt;$H39,"Due, "&amp;(TODAY()-$H39)&amp;"d late",IF(TODAY()=$H39,"Due today","in "&amp;($H39-TODAY())&amp;"d"))))</f>
        <v/>
      </c>
      <c r="J39" s="32" t="n"/>
      <c r="K39" s="32" t="n"/>
    </row>
    <row r="40" ht="18" customHeight="1">
      <c r="A40" s="32" t="n"/>
      <c r="B40" s="32" t="n"/>
      <c r="C40" s="32" t="n"/>
      <c r="D40" s="32" t="n"/>
      <c r="E40" s="32" t="n"/>
      <c r="F40" s="32" t="n"/>
      <c r="G40" s="33" t="n"/>
      <c r="H40" s="35">
        <f>IF($G40="","",$G40+4)</f>
        <v/>
      </c>
      <c r="I40" s="36">
        <f>IF($G40="","",IF(OR($F40="Closed",$F40="Spoke"),"-",IF(TODAY()&gt;$H40,"Due, "&amp;(TODAY()-$H40)&amp;"d late",IF(TODAY()=$H40,"Due today","in "&amp;($H40-TODAY())&amp;"d"))))</f>
        <v/>
      </c>
      <c r="J40" s="32" t="n"/>
      <c r="K40" s="32" t="n"/>
    </row>
    <row r="41" ht="18" customHeight="1">
      <c r="A41" s="32" t="n"/>
      <c r="B41" s="32" t="n"/>
      <c r="C41" s="32" t="n"/>
      <c r="D41" s="32" t="n"/>
      <c r="E41" s="32" t="n"/>
      <c r="F41" s="32" t="n"/>
      <c r="G41" s="33" t="n"/>
      <c r="H41" s="35">
        <f>IF($G41="","",$G41+4)</f>
        <v/>
      </c>
      <c r="I41" s="36">
        <f>IF($G41="","",IF(OR($F41="Closed",$F41="Spoke"),"-",IF(TODAY()&gt;$H41,"Due, "&amp;(TODAY()-$H41)&amp;"d late",IF(TODAY()=$H41,"Due today","in "&amp;($H41-TODAY())&amp;"d"))))</f>
        <v/>
      </c>
      <c r="J41" s="32" t="n"/>
      <c r="K41" s="32" t="n"/>
    </row>
    <row r="42" ht="18" customHeight="1">
      <c r="A42" s="32" t="n"/>
      <c r="B42" s="32" t="n"/>
      <c r="C42" s="32" t="n"/>
      <c r="D42" s="32" t="n"/>
      <c r="E42" s="32" t="n"/>
      <c r="F42" s="32" t="n"/>
      <c r="G42" s="33" t="n"/>
      <c r="H42" s="35">
        <f>IF($G42="","",$G42+4)</f>
        <v/>
      </c>
      <c r="I42" s="36">
        <f>IF($G42="","",IF(OR($F42="Closed",$F42="Spoke"),"-",IF(TODAY()&gt;$H42,"Due, "&amp;(TODAY()-$H42)&amp;"d late",IF(TODAY()=$H42,"Due today","in "&amp;($H42-TODAY())&amp;"d"))))</f>
        <v/>
      </c>
      <c r="J42" s="32" t="n"/>
      <c r="K42" s="32" t="n"/>
    </row>
    <row r="43" ht="18" customHeight="1">
      <c r="A43" s="32" t="n"/>
      <c r="B43" s="32" t="n"/>
      <c r="C43" s="32" t="n"/>
      <c r="D43" s="32" t="n"/>
      <c r="E43" s="32" t="n"/>
      <c r="F43" s="32" t="n"/>
      <c r="G43" s="33" t="n"/>
      <c r="H43" s="35">
        <f>IF($G43="","",$G43+4)</f>
        <v/>
      </c>
      <c r="I43" s="36">
        <f>IF($G43="","",IF(OR($F43="Closed",$F43="Spoke"),"-",IF(TODAY()&gt;$H43,"Due, "&amp;(TODAY()-$H43)&amp;"d late",IF(TODAY()=$H43,"Due today","in "&amp;($H43-TODAY())&amp;"d"))))</f>
        <v/>
      </c>
      <c r="J43" s="32" t="n"/>
      <c r="K43" s="32" t="n"/>
    </row>
    <row r="44" ht="18" customHeight="1">
      <c r="A44" s="32" t="n"/>
      <c r="B44" s="32" t="n"/>
      <c r="C44" s="32" t="n"/>
      <c r="D44" s="32" t="n"/>
      <c r="E44" s="32" t="n"/>
      <c r="F44" s="32" t="n"/>
      <c r="G44" s="33" t="n"/>
      <c r="H44" s="35">
        <f>IF($G44="","",$G44+4)</f>
        <v/>
      </c>
      <c r="I44" s="36">
        <f>IF($G44="","",IF(OR($F44="Closed",$F44="Spoke"),"-",IF(TODAY()&gt;$H44,"Due, "&amp;(TODAY()-$H44)&amp;"d late",IF(TODAY()=$H44,"Due today","in "&amp;($H44-TODAY())&amp;"d"))))</f>
        <v/>
      </c>
      <c r="J44" s="32" t="n"/>
      <c r="K44" s="32" t="n"/>
    </row>
    <row r="45" ht="18" customHeight="1">
      <c r="A45" s="32" t="n"/>
      <c r="B45" s="32" t="n"/>
      <c r="C45" s="32" t="n"/>
      <c r="D45" s="32" t="n"/>
      <c r="E45" s="32" t="n"/>
      <c r="F45" s="32" t="n"/>
      <c r="G45" s="33" t="n"/>
      <c r="H45" s="35">
        <f>IF($G45="","",$G45+4)</f>
        <v/>
      </c>
      <c r="I45" s="36">
        <f>IF($G45="","",IF(OR($F45="Closed",$F45="Spoke"),"-",IF(TODAY()&gt;$H45,"Due, "&amp;(TODAY()-$H45)&amp;"d late",IF(TODAY()=$H45,"Due today","in "&amp;($H45-TODAY())&amp;"d"))))</f>
        <v/>
      </c>
      <c r="J45" s="32" t="n"/>
      <c r="K45" s="32" t="n"/>
    </row>
    <row r="46" ht="18" customHeight="1">
      <c r="A46" s="32" t="n"/>
      <c r="B46" s="32" t="n"/>
      <c r="C46" s="32" t="n"/>
      <c r="D46" s="32" t="n"/>
      <c r="E46" s="32" t="n"/>
      <c r="F46" s="32" t="n"/>
      <c r="G46" s="33" t="n"/>
      <c r="H46" s="35">
        <f>IF($G46="","",$G46+4)</f>
        <v/>
      </c>
      <c r="I46" s="36">
        <f>IF($G46="","",IF(OR($F46="Closed",$F46="Spoke"),"-",IF(TODAY()&gt;$H46,"Due, "&amp;(TODAY()-$H46)&amp;"d late",IF(TODAY()=$H46,"Due today","in "&amp;($H46-TODAY())&amp;"d"))))</f>
        <v/>
      </c>
      <c r="J46" s="32" t="n"/>
      <c r="K46" s="32" t="n"/>
    </row>
    <row r="47" ht="18" customHeight="1">
      <c r="A47" s="32" t="n"/>
      <c r="B47" s="32" t="n"/>
      <c r="C47" s="32" t="n"/>
      <c r="D47" s="32" t="n"/>
      <c r="E47" s="32" t="n"/>
      <c r="F47" s="32" t="n"/>
      <c r="G47" s="33" t="n"/>
      <c r="H47" s="35">
        <f>IF($G47="","",$G47+4)</f>
        <v/>
      </c>
      <c r="I47" s="36">
        <f>IF($G47="","",IF(OR($F47="Closed",$F47="Spoke"),"-",IF(TODAY()&gt;$H47,"Due, "&amp;(TODAY()-$H47)&amp;"d late",IF(TODAY()=$H47,"Due today","in "&amp;($H47-TODAY())&amp;"d"))))</f>
        <v/>
      </c>
      <c r="J47" s="32" t="n"/>
      <c r="K47" s="32" t="n"/>
    </row>
    <row r="48" ht="18" customHeight="1">
      <c r="A48" s="32" t="n"/>
      <c r="B48" s="32" t="n"/>
      <c r="C48" s="32" t="n"/>
      <c r="D48" s="32" t="n"/>
      <c r="E48" s="32" t="n"/>
      <c r="F48" s="32" t="n"/>
      <c r="G48" s="33" t="n"/>
      <c r="H48" s="35">
        <f>IF($G48="","",$G48+4)</f>
        <v/>
      </c>
      <c r="I48" s="36">
        <f>IF($G48="","",IF(OR($F48="Closed",$F48="Spoke"),"-",IF(TODAY()&gt;$H48,"Due, "&amp;(TODAY()-$H48)&amp;"d late",IF(TODAY()=$H48,"Due today","in "&amp;($H48-TODAY())&amp;"d"))))</f>
        <v/>
      </c>
      <c r="J48" s="32" t="n"/>
      <c r="K48" s="32" t="n"/>
    </row>
    <row r="49" ht="18" customHeight="1">
      <c r="A49" s="32" t="n"/>
      <c r="B49" s="32" t="n"/>
      <c r="C49" s="32" t="n"/>
      <c r="D49" s="32" t="n"/>
      <c r="E49" s="32" t="n"/>
      <c r="F49" s="32" t="n"/>
      <c r="G49" s="33" t="n"/>
      <c r="H49" s="35">
        <f>IF($G49="","",$G49+4)</f>
        <v/>
      </c>
      <c r="I49" s="36">
        <f>IF($G49="","",IF(OR($F49="Closed",$F49="Spoke"),"-",IF(TODAY()&gt;$H49,"Due, "&amp;(TODAY()-$H49)&amp;"d late",IF(TODAY()=$H49,"Due today","in "&amp;($H49-TODAY())&amp;"d"))))</f>
        <v/>
      </c>
      <c r="J49" s="32" t="n"/>
      <c r="K49" s="32" t="n"/>
    </row>
    <row r="50" ht="18" customHeight="1">
      <c r="A50" s="32" t="n"/>
      <c r="B50" s="32" t="n"/>
      <c r="C50" s="32" t="n"/>
      <c r="D50" s="32" t="n"/>
      <c r="E50" s="32" t="n"/>
      <c r="F50" s="32" t="n"/>
      <c r="G50" s="33" t="n"/>
      <c r="H50" s="35">
        <f>IF($G50="","",$G50+4)</f>
        <v/>
      </c>
      <c r="I50" s="36">
        <f>IF($G50="","",IF(OR($F50="Closed",$F50="Spoke"),"-",IF(TODAY()&gt;$H50,"Due, "&amp;(TODAY()-$H50)&amp;"d late",IF(TODAY()=$H50,"Due today","in "&amp;($H50-TODAY())&amp;"d"))))</f>
        <v/>
      </c>
      <c r="J50" s="32" t="n"/>
      <c r="K50" s="32" t="n"/>
    </row>
    <row r="51" ht="18" customHeight="1">
      <c r="A51" s="32" t="n"/>
      <c r="B51" s="32" t="n"/>
      <c r="C51" s="32" t="n"/>
      <c r="D51" s="32" t="n"/>
      <c r="E51" s="32" t="n"/>
      <c r="F51" s="32" t="n"/>
      <c r="G51" s="33" t="n"/>
      <c r="H51" s="35">
        <f>IF($G51="","",$G51+4)</f>
        <v/>
      </c>
      <c r="I51" s="36">
        <f>IF($G51="","",IF(OR($F51="Closed",$F51="Spoke"),"-",IF(TODAY()&gt;$H51,"Due, "&amp;(TODAY()-$H51)&amp;"d late",IF(TODAY()=$H51,"Due today","in "&amp;($H51-TODAY())&amp;"d"))))</f>
        <v/>
      </c>
      <c r="J51" s="32" t="n"/>
      <c r="K51" s="32" t="n"/>
    </row>
    <row r="52" ht="18" customHeight="1">
      <c r="A52" s="32" t="n"/>
      <c r="B52" s="32" t="n"/>
      <c r="C52" s="32" t="n"/>
      <c r="D52" s="32" t="n"/>
      <c r="E52" s="32" t="n"/>
      <c r="F52" s="32" t="n"/>
      <c r="G52" s="33" t="n"/>
      <c r="H52" s="35">
        <f>IF($G52="","",$G52+4)</f>
        <v/>
      </c>
      <c r="I52" s="36">
        <f>IF($G52="","",IF(OR($F52="Closed",$F52="Spoke"),"-",IF(TODAY()&gt;$H52,"Due, "&amp;(TODAY()-$H52)&amp;"d late",IF(TODAY()=$H52,"Due today","in "&amp;($H52-TODAY())&amp;"d"))))</f>
        <v/>
      </c>
      <c r="J52" s="32" t="n"/>
      <c r="K52" s="32" t="n"/>
    </row>
    <row r="53" ht="18" customHeight="1">
      <c r="A53" s="32" t="n"/>
      <c r="B53" s="32" t="n"/>
      <c r="C53" s="32" t="n"/>
      <c r="D53" s="32" t="n"/>
      <c r="E53" s="32" t="n"/>
      <c r="F53" s="32" t="n"/>
      <c r="G53" s="33" t="n"/>
      <c r="H53" s="35">
        <f>IF($G53="","",$G53+4)</f>
        <v/>
      </c>
      <c r="I53" s="36">
        <f>IF($G53="","",IF(OR($F53="Closed",$F53="Spoke"),"-",IF(TODAY()&gt;$H53,"Due, "&amp;(TODAY()-$H53)&amp;"d late",IF(TODAY()=$H53,"Due today","in "&amp;($H53-TODAY())&amp;"d"))))</f>
        <v/>
      </c>
      <c r="J53" s="32" t="n"/>
      <c r="K53" s="32" t="n"/>
    </row>
    <row r="54" ht="18" customHeight="1">
      <c r="A54" s="32" t="n"/>
      <c r="B54" s="32" t="n"/>
      <c r="C54" s="32" t="n"/>
      <c r="D54" s="32" t="n"/>
      <c r="E54" s="32" t="n"/>
      <c r="F54" s="32" t="n"/>
      <c r="G54" s="33" t="n"/>
      <c r="H54" s="35">
        <f>IF($G54="","",$G54+4)</f>
        <v/>
      </c>
      <c r="I54" s="36">
        <f>IF($G54="","",IF(OR($F54="Closed",$F54="Spoke"),"-",IF(TODAY()&gt;$H54,"Due, "&amp;(TODAY()-$H54)&amp;"d late",IF(TODAY()=$H54,"Due today","in "&amp;($H54-TODAY())&amp;"d"))))</f>
        <v/>
      </c>
      <c r="J54" s="32" t="n"/>
      <c r="K54" s="32" t="n"/>
    </row>
    <row r="55" ht="18" customHeight="1">
      <c r="A55" s="32" t="n"/>
      <c r="B55" s="32" t="n"/>
      <c r="C55" s="32" t="n"/>
      <c r="D55" s="32" t="n"/>
      <c r="E55" s="32" t="n"/>
      <c r="F55" s="32" t="n"/>
      <c r="G55" s="33" t="n"/>
      <c r="H55" s="35">
        <f>IF($G55="","",$G55+4)</f>
        <v/>
      </c>
      <c r="I55" s="36">
        <f>IF($G55="","",IF(OR($F55="Closed",$F55="Spoke"),"-",IF(TODAY()&gt;$H55,"Due, "&amp;(TODAY()-$H55)&amp;"d late",IF(TODAY()=$H55,"Due today","in "&amp;($H55-TODAY())&amp;"d"))))</f>
        <v/>
      </c>
      <c r="J55" s="32" t="n"/>
      <c r="K55" s="32" t="n"/>
    </row>
    <row r="56" ht="18" customHeight="1">
      <c r="A56" s="32" t="n"/>
      <c r="B56" s="32" t="n"/>
      <c r="C56" s="32" t="n"/>
      <c r="D56" s="32" t="n"/>
      <c r="E56" s="32" t="n"/>
      <c r="F56" s="32" t="n"/>
      <c r="G56" s="33" t="n"/>
      <c r="H56" s="35">
        <f>IF($G56="","",$G56+4)</f>
        <v/>
      </c>
      <c r="I56" s="36">
        <f>IF($G56="","",IF(OR($F56="Closed",$F56="Spoke"),"-",IF(TODAY()&gt;$H56,"Due, "&amp;(TODAY()-$H56)&amp;"d late",IF(TODAY()=$H56,"Due today","in "&amp;($H56-TODAY())&amp;"d"))))</f>
        <v/>
      </c>
      <c r="J56" s="32" t="n"/>
      <c r="K56" s="32" t="n"/>
    </row>
    <row r="57" ht="18" customHeight="1">
      <c r="A57" s="32" t="n"/>
      <c r="B57" s="32" t="n"/>
      <c r="C57" s="32" t="n"/>
      <c r="D57" s="32" t="n"/>
      <c r="E57" s="32" t="n"/>
      <c r="F57" s="32" t="n"/>
      <c r="G57" s="33" t="n"/>
      <c r="H57" s="35">
        <f>IF($G57="","",$G57+4)</f>
        <v/>
      </c>
      <c r="I57" s="36">
        <f>IF($G57="","",IF(OR($F57="Closed",$F57="Spoke"),"-",IF(TODAY()&gt;$H57,"Due, "&amp;(TODAY()-$H57)&amp;"d late",IF(TODAY()=$H57,"Due today","in "&amp;($H57-TODAY())&amp;"d"))))</f>
        <v/>
      </c>
      <c r="J57" s="32" t="n"/>
      <c r="K57" s="32" t="n"/>
    </row>
    <row r="58" ht="18" customHeight="1">
      <c r="A58" s="32" t="n"/>
      <c r="B58" s="32" t="n"/>
      <c r="C58" s="32" t="n"/>
      <c r="D58" s="32" t="n"/>
      <c r="E58" s="32" t="n"/>
      <c r="F58" s="32" t="n"/>
      <c r="G58" s="33" t="n"/>
      <c r="H58" s="35">
        <f>IF($G58="","",$G58+4)</f>
        <v/>
      </c>
      <c r="I58" s="36">
        <f>IF($G58="","",IF(OR($F58="Closed",$F58="Spoke"),"-",IF(TODAY()&gt;$H58,"Due, "&amp;(TODAY()-$H58)&amp;"d late",IF(TODAY()=$H58,"Due today","in "&amp;($H58-TODAY())&amp;"d"))))</f>
        <v/>
      </c>
      <c r="J58" s="32" t="n"/>
      <c r="K58" s="32" t="n"/>
    </row>
    <row r="59" ht="18" customHeight="1">
      <c r="A59" s="32" t="n"/>
      <c r="B59" s="32" t="n"/>
      <c r="C59" s="32" t="n"/>
      <c r="D59" s="32" t="n"/>
      <c r="E59" s="32" t="n"/>
      <c r="F59" s="32" t="n"/>
      <c r="G59" s="33" t="n"/>
      <c r="H59" s="35">
        <f>IF($G59="","",$G59+4)</f>
        <v/>
      </c>
      <c r="I59" s="36">
        <f>IF($G59="","",IF(OR($F59="Closed",$F59="Spoke"),"-",IF(TODAY()&gt;$H59,"Due, "&amp;(TODAY()-$H59)&amp;"d late",IF(TODAY()=$H59,"Due today","in "&amp;($H59-TODAY())&amp;"d"))))</f>
        <v/>
      </c>
      <c r="J59" s="32" t="n"/>
      <c r="K59" s="32" t="n"/>
    </row>
    <row r="60" ht="18" customHeight="1">
      <c r="A60" s="32" t="n"/>
      <c r="B60" s="32" t="n"/>
      <c r="C60" s="32" t="n"/>
      <c r="D60" s="32" t="n"/>
      <c r="E60" s="32" t="n"/>
      <c r="F60" s="32" t="n"/>
      <c r="G60" s="33" t="n"/>
      <c r="H60" s="35">
        <f>IF($G60="","",$G60+4)</f>
        <v/>
      </c>
      <c r="I60" s="36">
        <f>IF($G60="","",IF(OR($F60="Closed",$F60="Spoke"),"-",IF(TODAY()&gt;$H60,"Due, "&amp;(TODAY()-$H60)&amp;"d late",IF(TODAY()=$H60,"Due today","in "&amp;($H60-TODAY())&amp;"d"))))</f>
        <v/>
      </c>
      <c r="J60" s="32" t="n"/>
      <c r="K60" s="32" t="n"/>
    </row>
    <row r="61" ht="18" customHeight="1">
      <c r="A61" s="32" t="n"/>
      <c r="B61" s="32" t="n"/>
      <c r="C61" s="32" t="n"/>
      <c r="D61" s="32" t="n"/>
      <c r="E61" s="32" t="n"/>
      <c r="F61" s="32" t="n"/>
      <c r="G61" s="33" t="n"/>
      <c r="H61" s="35">
        <f>IF($G61="","",$G61+4)</f>
        <v/>
      </c>
      <c r="I61" s="36">
        <f>IF($G61="","",IF(OR($F61="Closed",$F61="Spoke"),"-",IF(TODAY()&gt;$H61,"Due, "&amp;(TODAY()-$H61)&amp;"d late",IF(TODAY()=$H61,"Due today","in "&amp;($H61-TODAY())&amp;"d"))))</f>
        <v/>
      </c>
      <c r="J61" s="32" t="n"/>
      <c r="K61" s="32" t="n"/>
    </row>
    <row r="62" ht="18" customHeight="1">
      <c r="A62" s="32" t="n"/>
      <c r="B62" s="32" t="n"/>
      <c r="C62" s="32" t="n"/>
      <c r="D62" s="32" t="n"/>
      <c r="E62" s="32" t="n"/>
      <c r="F62" s="32" t="n"/>
      <c r="G62" s="33" t="n"/>
      <c r="H62" s="35">
        <f>IF($G62="","",$G62+4)</f>
        <v/>
      </c>
      <c r="I62" s="36">
        <f>IF($G62="","",IF(OR($F62="Closed",$F62="Spoke"),"-",IF(TODAY()&gt;$H62,"Due, "&amp;(TODAY()-$H62)&amp;"d late",IF(TODAY()=$H62,"Due today","in "&amp;($H62-TODAY())&amp;"d"))))</f>
        <v/>
      </c>
      <c r="J62" s="32" t="n"/>
      <c r="K62" s="32" t="n"/>
    </row>
    <row r="63" ht="18" customHeight="1">
      <c r="A63" s="32" t="n"/>
      <c r="B63" s="32" t="n"/>
      <c r="C63" s="32" t="n"/>
      <c r="D63" s="32" t="n"/>
      <c r="E63" s="32" t="n"/>
      <c r="F63" s="32" t="n"/>
      <c r="G63" s="33" t="n"/>
      <c r="H63" s="35">
        <f>IF($G63="","",$G63+4)</f>
        <v/>
      </c>
      <c r="I63" s="36">
        <f>IF($G63="","",IF(OR($F63="Closed",$F63="Spoke"),"-",IF(TODAY()&gt;$H63,"Due, "&amp;(TODAY()-$H63)&amp;"d late",IF(TODAY()=$H63,"Due today","in "&amp;($H63-TODAY())&amp;"d"))))</f>
        <v/>
      </c>
      <c r="J63" s="32" t="n"/>
      <c r="K63" s="32" t="n"/>
    </row>
    <row r="64" ht="18" customHeight="1">
      <c r="A64" s="32" t="n"/>
      <c r="B64" s="32" t="n"/>
      <c r="C64" s="32" t="n"/>
      <c r="D64" s="32" t="n"/>
      <c r="E64" s="32" t="n"/>
      <c r="F64" s="32" t="n"/>
      <c r="G64" s="33" t="n"/>
      <c r="H64" s="35">
        <f>IF($G64="","",$G64+4)</f>
        <v/>
      </c>
      <c r="I64" s="36">
        <f>IF($G64="","",IF(OR($F64="Closed",$F64="Spoke"),"-",IF(TODAY()&gt;$H64,"Due, "&amp;(TODAY()-$H64)&amp;"d late",IF(TODAY()=$H64,"Due today","in "&amp;($H64-TODAY())&amp;"d"))))</f>
        <v/>
      </c>
      <c r="J64" s="32" t="n"/>
      <c r="K64" s="32" t="n"/>
    </row>
    <row r="65" ht="18" customHeight="1">
      <c r="A65" s="32" t="n"/>
      <c r="B65" s="32" t="n"/>
      <c r="C65" s="32" t="n"/>
      <c r="D65" s="32" t="n"/>
      <c r="E65" s="32" t="n"/>
      <c r="F65" s="32" t="n"/>
      <c r="G65" s="33" t="n"/>
      <c r="H65" s="35">
        <f>IF($G65="","",$G65+4)</f>
        <v/>
      </c>
      <c r="I65" s="36">
        <f>IF($G65="","",IF(OR($F65="Closed",$F65="Spoke"),"-",IF(TODAY()&gt;$H65,"Due, "&amp;(TODAY()-$H65)&amp;"d late",IF(TODAY()=$H65,"Due today","in "&amp;($H65-TODAY())&amp;"d"))))</f>
        <v/>
      </c>
      <c r="J65" s="32" t="n"/>
      <c r="K65" s="32" t="n"/>
    </row>
    <row r="66" ht="18" customHeight="1">
      <c r="A66" s="32" t="n"/>
      <c r="B66" s="32" t="n"/>
      <c r="C66" s="32" t="n"/>
      <c r="D66" s="32" t="n"/>
      <c r="E66" s="32" t="n"/>
      <c r="F66" s="32" t="n"/>
      <c r="G66" s="33" t="n"/>
      <c r="H66" s="35">
        <f>IF($G66="","",$G66+4)</f>
        <v/>
      </c>
      <c r="I66" s="36">
        <f>IF($G66="","",IF(OR($F66="Closed",$F66="Spoke"),"-",IF(TODAY()&gt;$H66,"Due, "&amp;(TODAY()-$H66)&amp;"d late",IF(TODAY()=$H66,"Due today","in "&amp;($H66-TODAY())&amp;"d"))))</f>
        <v/>
      </c>
      <c r="J66" s="32" t="n"/>
      <c r="K66" s="32" t="n"/>
    </row>
    <row r="67" ht="18" customHeight="1">
      <c r="A67" s="32" t="n"/>
      <c r="B67" s="32" t="n"/>
      <c r="C67" s="32" t="n"/>
      <c r="D67" s="32" t="n"/>
      <c r="E67" s="32" t="n"/>
      <c r="F67" s="32" t="n"/>
      <c r="G67" s="33" t="n"/>
      <c r="H67" s="35">
        <f>IF($G67="","",$G67+4)</f>
        <v/>
      </c>
      <c r="I67" s="36">
        <f>IF($G67="","",IF(OR($F67="Closed",$F67="Spoke"),"-",IF(TODAY()&gt;$H67,"Due, "&amp;(TODAY()-$H67)&amp;"d late",IF(TODAY()=$H67,"Due today","in "&amp;($H67-TODAY())&amp;"d"))))</f>
        <v/>
      </c>
      <c r="J67" s="32" t="n"/>
      <c r="K67" s="32" t="n"/>
    </row>
    <row r="68" ht="18" customHeight="1">
      <c r="A68" s="32" t="n"/>
      <c r="B68" s="32" t="n"/>
      <c r="C68" s="32" t="n"/>
      <c r="D68" s="32" t="n"/>
      <c r="E68" s="32" t="n"/>
      <c r="F68" s="32" t="n"/>
      <c r="G68" s="33" t="n"/>
      <c r="H68" s="35">
        <f>IF($G68="","",$G68+4)</f>
        <v/>
      </c>
      <c r="I68" s="36">
        <f>IF($G68="","",IF(OR($F68="Closed",$F68="Spoke"),"-",IF(TODAY()&gt;$H68,"Due, "&amp;(TODAY()-$H68)&amp;"d late",IF(TODAY()=$H68,"Due today","in "&amp;($H68-TODAY())&amp;"d"))))</f>
        <v/>
      </c>
      <c r="J68" s="32" t="n"/>
      <c r="K68" s="32" t="n"/>
    </row>
    <row r="69" ht="18" customHeight="1">
      <c r="A69" s="32" t="n"/>
      <c r="B69" s="32" t="n"/>
      <c r="C69" s="32" t="n"/>
      <c r="D69" s="32" t="n"/>
      <c r="E69" s="32" t="n"/>
      <c r="F69" s="32" t="n"/>
      <c r="G69" s="33" t="n"/>
      <c r="H69" s="35">
        <f>IF($G69="","",$G69+4)</f>
        <v/>
      </c>
      <c r="I69" s="36">
        <f>IF($G69="","",IF(OR($F69="Closed",$F69="Spoke"),"-",IF(TODAY()&gt;$H69,"Due, "&amp;(TODAY()-$H69)&amp;"d late",IF(TODAY()=$H69,"Due today","in "&amp;($H69-TODAY())&amp;"d"))))</f>
        <v/>
      </c>
      <c r="J69" s="32" t="n"/>
      <c r="K69" s="32" t="n"/>
    </row>
    <row r="70" ht="18" customHeight="1">
      <c r="A70" s="32" t="n"/>
      <c r="B70" s="32" t="n"/>
      <c r="C70" s="32" t="n"/>
      <c r="D70" s="32" t="n"/>
      <c r="E70" s="32" t="n"/>
      <c r="F70" s="32" t="n"/>
      <c r="G70" s="33" t="n"/>
      <c r="H70" s="35">
        <f>IF($G70="","",$G70+4)</f>
        <v/>
      </c>
      <c r="I70" s="36">
        <f>IF($G70="","",IF(OR($F70="Closed",$F70="Spoke"),"-",IF(TODAY()&gt;$H70,"Due, "&amp;(TODAY()-$H70)&amp;"d late",IF(TODAY()=$H70,"Due today","in "&amp;($H70-TODAY())&amp;"d"))))</f>
        <v/>
      </c>
      <c r="J70" s="32" t="n"/>
      <c r="K70" s="32" t="n"/>
    </row>
    <row r="71" ht="18" customHeight="1">
      <c r="A71" s="32" t="n"/>
      <c r="B71" s="32" t="n"/>
      <c r="C71" s="32" t="n"/>
      <c r="D71" s="32" t="n"/>
      <c r="E71" s="32" t="n"/>
      <c r="F71" s="32" t="n"/>
      <c r="G71" s="33" t="n"/>
      <c r="H71" s="35">
        <f>IF($G71="","",$G71+4)</f>
        <v/>
      </c>
      <c r="I71" s="36">
        <f>IF($G71="","",IF(OR($F71="Closed",$F71="Spoke"),"-",IF(TODAY()&gt;$H71,"Due, "&amp;(TODAY()-$H71)&amp;"d late",IF(TODAY()=$H71,"Due today","in "&amp;($H71-TODAY())&amp;"d"))))</f>
        <v/>
      </c>
      <c r="J71" s="32" t="n"/>
      <c r="K71" s="32" t="n"/>
    </row>
    <row r="72" ht="18" customHeight="1">
      <c r="A72" s="32" t="n"/>
      <c r="B72" s="32" t="n"/>
      <c r="C72" s="32" t="n"/>
      <c r="D72" s="32" t="n"/>
      <c r="E72" s="32" t="n"/>
      <c r="F72" s="32" t="n"/>
      <c r="G72" s="33" t="n"/>
      <c r="H72" s="35">
        <f>IF($G72="","",$G72+4)</f>
        <v/>
      </c>
      <c r="I72" s="36">
        <f>IF($G72="","",IF(OR($F72="Closed",$F72="Spoke"),"-",IF(TODAY()&gt;$H72,"Due, "&amp;(TODAY()-$H72)&amp;"d late",IF(TODAY()=$H72,"Due today","in "&amp;($H72-TODAY())&amp;"d"))))</f>
        <v/>
      </c>
      <c r="J72" s="32" t="n"/>
      <c r="K72" s="32" t="n"/>
    </row>
    <row r="73" ht="18" customHeight="1">
      <c r="A73" s="32" t="n"/>
      <c r="B73" s="32" t="n"/>
      <c r="C73" s="32" t="n"/>
      <c r="D73" s="32" t="n"/>
      <c r="E73" s="32" t="n"/>
      <c r="F73" s="32" t="n"/>
      <c r="G73" s="33" t="n"/>
      <c r="H73" s="35">
        <f>IF($G73="","",$G73+4)</f>
        <v/>
      </c>
      <c r="I73" s="36">
        <f>IF($G73="","",IF(OR($F73="Closed",$F73="Spoke"),"-",IF(TODAY()&gt;$H73,"Due, "&amp;(TODAY()-$H73)&amp;"d late",IF(TODAY()=$H73,"Due today","in "&amp;($H73-TODAY())&amp;"d"))))</f>
        <v/>
      </c>
      <c r="J73" s="32" t="n"/>
      <c r="K73" s="32" t="n"/>
    </row>
    <row r="74" ht="18" customHeight="1">
      <c r="A74" s="32" t="n"/>
      <c r="B74" s="32" t="n"/>
      <c r="C74" s="32" t="n"/>
      <c r="D74" s="32" t="n"/>
      <c r="E74" s="32" t="n"/>
      <c r="F74" s="32" t="n"/>
      <c r="G74" s="33" t="n"/>
      <c r="H74" s="35">
        <f>IF($G74="","",$G74+4)</f>
        <v/>
      </c>
      <c r="I74" s="36">
        <f>IF($G74="","",IF(OR($F74="Closed",$F74="Spoke"),"-",IF(TODAY()&gt;$H74,"Due, "&amp;(TODAY()-$H74)&amp;"d late",IF(TODAY()=$H74,"Due today","in "&amp;($H74-TODAY())&amp;"d"))))</f>
        <v/>
      </c>
      <c r="J74" s="32" t="n"/>
      <c r="K74" s="32" t="n"/>
    </row>
    <row r="75" ht="18" customHeight="1">
      <c r="A75" s="32" t="n"/>
      <c r="B75" s="32" t="n"/>
      <c r="C75" s="32" t="n"/>
      <c r="D75" s="32" t="n"/>
      <c r="E75" s="32" t="n"/>
      <c r="F75" s="32" t="n"/>
      <c r="G75" s="33" t="n"/>
      <c r="H75" s="35">
        <f>IF($G75="","",$G75+4)</f>
        <v/>
      </c>
      <c r="I75" s="36">
        <f>IF($G75="","",IF(OR($F75="Closed",$F75="Spoke"),"-",IF(TODAY()&gt;$H75,"Due, "&amp;(TODAY()-$H75)&amp;"d late",IF(TODAY()=$H75,"Due today","in "&amp;($H75-TODAY())&amp;"d"))))</f>
        <v/>
      </c>
      <c r="J75" s="32" t="n"/>
      <c r="K75" s="32" t="n"/>
    </row>
    <row r="76" ht="18" customHeight="1">
      <c r="A76" s="32" t="n"/>
      <c r="B76" s="32" t="n"/>
      <c r="C76" s="32" t="n"/>
      <c r="D76" s="32" t="n"/>
      <c r="E76" s="32" t="n"/>
      <c r="F76" s="32" t="n"/>
      <c r="G76" s="33" t="n"/>
      <c r="H76" s="35">
        <f>IF($G76="","",$G76+4)</f>
        <v/>
      </c>
      <c r="I76" s="36">
        <f>IF($G76="","",IF(OR($F76="Closed",$F76="Spoke"),"-",IF(TODAY()&gt;$H76,"Due, "&amp;(TODAY()-$H76)&amp;"d late",IF(TODAY()=$H76,"Due today","in "&amp;($H76-TODAY())&amp;"d"))))</f>
        <v/>
      </c>
      <c r="J76" s="32" t="n"/>
      <c r="K76" s="32" t="n"/>
    </row>
    <row r="77" ht="18" customHeight="1">
      <c r="A77" s="32" t="n"/>
      <c r="B77" s="32" t="n"/>
      <c r="C77" s="32" t="n"/>
      <c r="D77" s="32" t="n"/>
      <c r="E77" s="32" t="n"/>
      <c r="F77" s="32" t="n"/>
      <c r="G77" s="33" t="n"/>
      <c r="H77" s="35">
        <f>IF($G77="","",$G77+4)</f>
        <v/>
      </c>
      <c r="I77" s="36">
        <f>IF($G77="","",IF(OR($F77="Closed",$F77="Spoke"),"-",IF(TODAY()&gt;$H77,"Due, "&amp;(TODAY()-$H77)&amp;"d late",IF(TODAY()=$H77,"Due today","in "&amp;($H77-TODAY())&amp;"d"))))</f>
        <v/>
      </c>
      <c r="J77" s="32" t="n"/>
      <c r="K77" s="32" t="n"/>
    </row>
    <row r="78" ht="18" customHeight="1">
      <c r="A78" s="32" t="n"/>
      <c r="B78" s="32" t="n"/>
      <c r="C78" s="32" t="n"/>
      <c r="D78" s="32" t="n"/>
      <c r="E78" s="32" t="n"/>
      <c r="F78" s="32" t="n"/>
      <c r="G78" s="33" t="n"/>
      <c r="H78" s="35">
        <f>IF($G78="","",$G78+4)</f>
        <v/>
      </c>
      <c r="I78" s="36">
        <f>IF($G78="","",IF(OR($F78="Closed",$F78="Spoke"),"-",IF(TODAY()&gt;$H78,"Due, "&amp;(TODAY()-$H78)&amp;"d late",IF(TODAY()=$H78,"Due today","in "&amp;($H78-TODAY())&amp;"d"))))</f>
        <v/>
      </c>
      <c r="J78" s="32" t="n"/>
      <c r="K78" s="32" t="n"/>
    </row>
    <row r="79" ht="18" customHeight="1">
      <c r="A79" s="32" t="n"/>
      <c r="B79" s="32" t="n"/>
      <c r="C79" s="32" t="n"/>
      <c r="D79" s="32" t="n"/>
      <c r="E79" s="32" t="n"/>
      <c r="F79" s="32" t="n"/>
      <c r="G79" s="33" t="n"/>
      <c r="H79" s="35">
        <f>IF($G79="","",$G79+4)</f>
        <v/>
      </c>
      <c r="I79" s="36">
        <f>IF($G79="","",IF(OR($F79="Closed",$F79="Spoke"),"-",IF(TODAY()&gt;$H79,"Due, "&amp;(TODAY()-$H79)&amp;"d late",IF(TODAY()=$H79,"Due today","in "&amp;($H79-TODAY())&amp;"d"))))</f>
        <v/>
      </c>
      <c r="J79" s="32" t="n"/>
      <c r="K79" s="32" t="n"/>
    </row>
    <row r="80" ht="18" customHeight="1">
      <c r="A80" s="32" t="n"/>
      <c r="B80" s="32" t="n"/>
      <c r="C80" s="32" t="n"/>
      <c r="D80" s="32" t="n"/>
      <c r="E80" s="32" t="n"/>
      <c r="F80" s="32" t="n"/>
      <c r="G80" s="33" t="n"/>
      <c r="H80" s="35">
        <f>IF($G80="","",$G80+4)</f>
        <v/>
      </c>
      <c r="I80" s="36">
        <f>IF($G80="","",IF(OR($F80="Closed",$F80="Spoke"),"-",IF(TODAY()&gt;$H80,"Due, "&amp;(TODAY()-$H80)&amp;"d late",IF(TODAY()=$H80,"Due today","in "&amp;($H80-TODAY())&amp;"d"))))</f>
        <v/>
      </c>
      <c r="J80" s="32" t="n"/>
      <c r="K80" s="32" t="n"/>
    </row>
    <row r="81" ht="18" customHeight="1">
      <c r="A81" s="32" t="n"/>
      <c r="B81" s="32" t="n"/>
      <c r="C81" s="32" t="n"/>
      <c r="D81" s="32" t="n"/>
      <c r="E81" s="32" t="n"/>
      <c r="F81" s="32" t="n"/>
      <c r="G81" s="33" t="n"/>
      <c r="H81" s="35">
        <f>IF($G81="","",$G81+4)</f>
        <v/>
      </c>
      <c r="I81" s="36">
        <f>IF($G81="","",IF(OR($F81="Closed",$F81="Spoke"),"-",IF(TODAY()&gt;$H81,"Due, "&amp;(TODAY()-$H81)&amp;"d late",IF(TODAY()=$H81,"Due today","in "&amp;($H81-TODAY())&amp;"d"))))</f>
        <v/>
      </c>
      <c r="J81" s="32" t="n"/>
      <c r="K81" s="32" t="n"/>
    </row>
    <row r="82" ht="18" customHeight="1">
      <c r="A82" s="32" t="n"/>
      <c r="B82" s="32" t="n"/>
      <c r="C82" s="32" t="n"/>
      <c r="D82" s="32" t="n"/>
      <c r="E82" s="32" t="n"/>
      <c r="F82" s="32" t="n"/>
      <c r="G82" s="33" t="n"/>
      <c r="H82" s="35">
        <f>IF($G82="","",$G82+4)</f>
        <v/>
      </c>
      <c r="I82" s="36">
        <f>IF($G82="","",IF(OR($F82="Closed",$F82="Spoke"),"-",IF(TODAY()&gt;$H82,"Due, "&amp;(TODAY()-$H82)&amp;"d late",IF(TODAY()=$H82,"Due today","in "&amp;($H82-TODAY())&amp;"d"))))</f>
        <v/>
      </c>
      <c r="J82" s="32" t="n"/>
      <c r="K82" s="32" t="n"/>
    </row>
    <row r="83" ht="18" customHeight="1">
      <c r="A83" s="32" t="n"/>
      <c r="B83" s="32" t="n"/>
      <c r="C83" s="32" t="n"/>
      <c r="D83" s="32" t="n"/>
      <c r="E83" s="32" t="n"/>
      <c r="F83" s="32" t="n"/>
      <c r="G83" s="33" t="n"/>
      <c r="H83" s="35">
        <f>IF($G83="","",$G83+4)</f>
        <v/>
      </c>
      <c r="I83" s="36">
        <f>IF($G83="","",IF(OR($F83="Closed",$F83="Spoke"),"-",IF(TODAY()&gt;$H83,"Due, "&amp;(TODAY()-$H83)&amp;"d late",IF(TODAY()=$H83,"Due today","in "&amp;($H83-TODAY())&amp;"d"))))</f>
        <v/>
      </c>
      <c r="J83" s="32" t="n"/>
      <c r="K83" s="32" t="n"/>
    </row>
    <row r="84" ht="18" customHeight="1">
      <c r="A84" s="32" t="n"/>
      <c r="B84" s="32" t="n"/>
      <c r="C84" s="32" t="n"/>
      <c r="D84" s="32" t="n"/>
      <c r="E84" s="32" t="n"/>
      <c r="F84" s="32" t="n"/>
      <c r="G84" s="33" t="n"/>
      <c r="H84" s="35">
        <f>IF($G84="","",$G84+4)</f>
        <v/>
      </c>
      <c r="I84" s="36">
        <f>IF($G84="","",IF(OR($F84="Closed",$F84="Spoke"),"-",IF(TODAY()&gt;$H84,"Due, "&amp;(TODAY()-$H84)&amp;"d late",IF(TODAY()=$H84,"Due today","in "&amp;($H84-TODAY())&amp;"d"))))</f>
        <v/>
      </c>
      <c r="J84" s="32" t="n"/>
      <c r="K84" s="32" t="n"/>
    </row>
    <row r="85" ht="18" customHeight="1">
      <c r="A85" s="32" t="n"/>
      <c r="B85" s="32" t="n"/>
      <c r="C85" s="32" t="n"/>
      <c r="D85" s="32" t="n"/>
      <c r="E85" s="32" t="n"/>
      <c r="F85" s="32" t="n"/>
      <c r="G85" s="33" t="n"/>
      <c r="H85" s="35">
        <f>IF($G85="","",$G85+4)</f>
        <v/>
      </c>
      <c r="I85" s="36">
        <f>IF($G85="","",IF(OR($F85="Closed",$F85="Spoke"),"-",IF(TODAY()&gt;$H85,"Due, "&amp;(TODAY()-$H85)&amp;"d late",IF(TODAY()=$H85,"Due today","in "&amp;($H85-TODAY())&amp;"d"))))</f>
        <v/>
      </c>
      <c r="J85" s="32" t="n"/>
      <c r="K85" s="32" t="n"/>
    </row>
    <row r="86" ht="18" customHeight="1">
      <c r="A86" s="32" t="n"/>
      <c r="B86" s="32" t="n"/>
      <c r="C86" s="32" t="n"/>
      <c r="D86" s="32" t="n"/>
      <c r="E86" s="32" t="n"/>
      <c r="F86" s="32" t="n"/>
      <c r="G86" s="33" t="n"/>
      <c r="H86" s="35">
        <f>IF($G86="","",$G86+4)</f>
        <v/>
      </c>
      <c r="I86" s="36">
        <f>IF($G86="","",IF(OR($F86="Closed",$F86="Spoke"),"-",IF(TODAY()&gt;$H86,"Due, "&amp;(TODAY()-$H86)&amp;"d late",IF(TODAY()=$H86,"Due today","in "&amp;($H86-TODAY())&amp;"d"))))</f>
        <v/>
      </c>
      <c r="J86" s="32" t="n"/>
      <c r="K86" s="32" t="n"/>
    </row>
    <row r="87" ht="18" customHeight="1">
      <c r="A87" s="32" t="n"/>
      <c r="B87" s="32" t="n"/>
      <c r="C87" s="32" t="n"/>
      <c r="D87" s="32" t="n"/>
      <c r="E87" s="32" t="n"/>
      <c r="F87" s="32" t="n"/>
      <c r="G87" s="33" t="n"/>
      <c r="H87" s="35">
        <f>IF($G87="","",$G87+4)</f>
        <v/>
      </c>
      <c r="I87" s="36">
        <f>IF($G87="","",IF(OR($F87="Closed",$F87="Spoke"),"-",IF(TODAY()&gt;$H87,"Due, "&amp;(TODAY()-$H87)&amp;"d late",IF(TODAY()=$H87,"Due today","in "&amp;($H87-TODAY())&amp;"d"))))</f>
        <v/>
      </c>
      <c r="J87" s="32" t="n"/>
      <c r="K87" s="32" t="n"/>
    </row>
    <row r="88" ht="18" customHeight="1">
      <c r="A88" s="32" t="n"/>
      <c r="B88" s="32" t="n"/>
      <c r="C88" s="32" t="n"/>
      <c r="D88" s="32" t="n"/>
      <c r="E88" s="32" t="n"/>
      <c r="F88" s="32" t="n"/>
      <c r="G88" s="33" t="n"/>
      <c r="H88" s="35">
        <f>IF($G88="","",$G88+4)</f>
        <v/>
      </c>
      <c r="I88" s="36">
        <f>IF($G88="","",IF(OR($F88="Closed",$F88="Spoke"),"-",IF(TODAY()&gt;$H88,"Due, "&amp;(TODAY()-$H88)&amp;"d late",IF(TODAY()=$H88,"Due today","in "&amp;($H88-TODAY())&amp;"d"))))</f>
        <v/>
      </c>
      <c r="J88" s="32" t="n"/>
      <c r="K88" s="32" t="n"/>
    </row>
    <row r="89" ht="18" customHeight="1">
      <c r="A89" s="32" t="n"/>
      <c r="B89" s="32" t="n"/>
      <c r="C89" s="32" t="n"/>
      <c r="D89" s="32" t="n"/>
      <c r="E89" s="32" t="n"/>
      <c r="F89" s="32" t="n"/>
      <c r="G89" s="33" t="n"/>
      <c r="H89" s="35">
        <f>IF($G89="","",$G89+4)</f>
        <v/>
      </c>
      <c r="I89" s="36">
        <f>IF($G89="","",IF(OR($F89="Closed",$F89="Spoke"),"-",IF(TODAY()&gt;$H89,"Due, "&amp;(TODAY()-$H89)&amp;"d late",IF(TODAY()=$H89,"Due today","in "&amp;($H89-TODAY())&amp;"d"))))</f>
        <v/>
      </c>
      <c r="J89" s="32" t="n"/>
      <c r="K89" s="32" t="n"/>
    </row>
    <row r="90" ht="18" customHeight="1">
      <c r="A90" s="32" t="n"/>
      <c r="B90" s="32" t="n"/>
      <c r="C90" s="32" t="n"/>
      <c r="D90" s="32" t="n"/>
      <c r="E90" s="32" t="n"/>
      <c r="F90" s="32" t="n"/>
      <c r="G90" s="33" t="n"/>
      <c r="H90" s="35">
        <f>IF($G90="","",$G90+4)</f>
        <v/>
      </c>
      <c r="I90" s="36">
        <f>IF($G90="","",IF(OR($F90="Closed",$F90="Spoke"),"-",IF(TODAY()&gt;$H90,"Due, "&amp;(TODAY()-$H90)&amp;"d late",IF(TODAY()=$H90,"Due today","in "&amp;($H90-TODAY())&amp;"d"))))</f>
        <v/>
      </c>
      <c r="J90" s="32" t="n"/>
      <c r="K90" s="32" t="n"/>
    </row>
    <row r="91" ht="18" customHeight="1">
      <c r="A91" s="32" t="n"/>
      <c r="B91" s="32" t="n"/>
      <c r="C91" s="32" t="n"/>
      <c r="D91" s="32" t="n"/>
      <c r="E91" s="32" t="n"/>
      <c r="F91" s="32" t="n"/>
      <c r="G91" s="33" t="n"/>
      <c r="H91" s="35">
        <f>IF($G91="","",$G91+4)</f>
        <v/>
      </c>
      <c r="I91" s="36">
        <f>IF($G91="","",IF(OR($F91="Closed",$F91="Spoke"),"-",IF(TODAY()&gt;$H91,"Due, "&amp;(TODAY()-$H91)&amp;"d late",IF(TODAY()=$H91,"Due today","in "&amp;($H91-TODAY())&amp;"d"))))</f>
        <v/>
      </c>
      <c r="J91" s="32" t="n"/>
      <c r="K91" s="32" t="n"/>
    </row>
    <row r="92" ht="18" customHeight="1">
      <c r="A92" s="32" t="n"/>
      <c r="B92" s="32" t="n"/>
      <c r="C92" s="32" t="n"/>
      <c r="D92" s="32" t="n"/>
      <c r="E92" s="32" t="n"/>
      <c r="F92" s="32" t="n"/>
      <c r="G92" s="33" t="n"/>
      <c r="H92" s="35">
        <f>IF($G92="","",$G92+4)</f>
        <v/>
      </c>
      <c r="I92" s="36">
        <f>IF($G92="","",IF(OR($F92="Closed",$F92="Spoke"),"-",IF(TODAY()&gt;$H92,"Due, "&amp;(TODAY()-$H92)&amp;"d late",IF(TODAY()=$H92,"Due today","in "&amp;($H92-TODAY())&amp;"d"))))</f>
        <v/>
      </c>
      <c r="J92" s="32" t="n"/>
      <c r="K92" s="32" t="n"/>
    </row>
    <row r="93" ht="18" customHeight="1">
      <c r="A93" s="32" t="n"/>
      <c r="B93" s="32" t="n"/>
      <c r="C93" s="32" t="n"/>
      <c r="D93" s="32" t="n"/>
      <c r="E93" s="32" t="n"/>
      <c r="F93" s="32" t="n"/>
      <c r="G93" s="33" t="n"/>
      <c r="H93" s="35">
        <f>IF($G93="","",$G93+4)</f>
        <v/>
      </c>
      <c r="I93" s="36">
        <f>IF($G93="","",IF(OR($F93="Closed",$F93="Spoke"),"-",IF(TODAY()&gt;$H93,"Due, "&amp;(TODAY()-$H93)&amp;"d late",IF(TODAY()=$H93,"Due today","in "&amp;($H93-TODAY())&amp;"d"))))</f>
        <v/>
      </c>
      <c r="J93" s="32" t="n"/>
      <c r="K93" s="32" t="n"/>
    </row>
    <row r="94" ht="18" customHeight="1">
      <c r="A94" s="32" t="n"/>
      <c r="B94" s="32" t="n"/>
      <c r="C94" s="32" t="n"/>
      <c r="D94" s="32" t="n"/>
      <c r="E94" s="32" t="n"/>
      <c r="F94" s="32" t="n"/>
      <c r="G94" s="33" t="n"/>
      <c r="H94" s="35">
        <f>IF($G94="","",$G94+4)</f>
        <v/>
      </c>
      <c r="I94" s="36">
        <f>IF($G94="","",IF(OR($F94="Closed",$F94="Spoke"),"-",IF(TODAY()&gt;$H94,"Due, "&amp;(TODAY()-$H94)&amp;"d late",IF(TODAY()=$H94,"Due today","in "&amp;($H94-TODAY())&amp;"d"))))</f>
        <v/>
      </c>
      <c r="J94" s="32" t="n"/>
      <c r="K94" s="32" t="n"/>
    </row>
    <row r="95" ht="18" customHeight="1">
      <c r="A95" s="32" t="n"/>
      <c r="B95" s="32" t="n"/>
      <c r="C95" s="32" t="n"/>
      <c r="D95" s="32" t="n"/>
      <c r="E95" s="32" t="n"/>
      <c r="F95" s="32" t="n"/>
      <c r="G95" s="33" t="n"/>
      <c r="H95" s="35">
        <f>IF($G95="","",$G95+4)</f>
        <v/>
      </c>
      <c r="I95" s="36">
        <f>IF($G95="","",IF(OR($F95="Closed",$F95="Spoke"),"-",IF(TODAY()&gt;$H95,"Due, "&amp;(TODAY()-$H95)&amp;"d late",IF(TODAY()=$H95,"Due today","in "&amp;($H95-TODAY())&amp;"d"))))</f>
        <v/>
      </c>
      <c r="J95" s="32" t="n"/>
      <c r="K95" s="32" t="n"/>
    </row>
    <row r="96" ht="18" customHeight="1">
      <c r="A96" s="32" t="n"/>
      <c r="B96" s="32" t="n"/>
      <c r="C96" s="32" t="n"/>
      <c r="D96" s="32" t="n"/>
      <c r="E96" s="32" t="n"/>
      <c r="F96" s="32" t="n"/>
      <c r="G96" s="33" t="n"/>
      <c r="H96" s="35">
        <f>IF($G96="","",$G96+4)</f>
        <v/>
      </c>
      <c r="I96" s="36">
        <f>IF($G96="","",IF(OR($F96="Closed",$F96="Spoke"),"-",IF(TODAY()&gt;$H96,"Due, "&amp;(TODAY()-$H96)&amp;"d late",IF(TODAY()=$H96,"Due today","in "&amp;($H96-TODAY())&amp;"d"))))</f>
        <v/>
      </c>
      <c r="J96" s="32" t="n"/>
      <c r="K96" s="32" t="n"/>
    </row>
    <row r="97" ht="18" customHeight="1">
      <c r="A97" s="32" t="n"/>
      <c r="B97" s="32" t="n"/>
      <c r="C97" s="32" t="n"/>
      <c r="D97" s="32" t="n"/>
      <c r="E97" s="32" t="n"/>
      <c r="F97" s="32" t="n"/>
      <c r="G97" s="33" t="n"/>
      <c r="H97" s="35">
        <f>IF($G97="","",$G97+4)</f>
        <v/>
      </c>
      <c r="I97" s="36">
        <f>IF($G97="","",IF(OR($F97="Closed",$F97="Spoke"),"-",IF(TODAY()&gt;$H97,"Due, "&amp;(TODAY()-$H97)&amp;"d late",IF(TODAY()=$H97,"Due today","in "&amp;($H97-TODAY())&amp;"d"))))</f>
        <v/>
      </c>
      <c r="J97" s="32" t="n"/>
      <c r="K97" s="32" t="n"/>
    </row>
    <row r="98" ht="18" customHeight="1">
      <c r="A98" s="32" t="n"/>
      <c r="B98" s="32" t="n"/>
      <c r="C98" s="32" t="n"/>
      <c r="D98" s="32" t="n"/>
      <c r="E98" s="32" t="n"/>
      <c r="F98" s="32" t="n"/>
      <c r="G98" s="33" t="n"/>
      <c r="H98" s="35">
        <f>IF($G98="","",$G98+4)</f>
        <v/>
      </c>
      <c r="I98" s="36">
        <f>IF($G98="","",IF(OR($F98="Closed",$F98="Spoke"),"-",IF(TODAY()&gt;$H98,"Due, "&amp;(TODAY()-$H98)&amp;"d late",IF(TODAY()=$H98,"Due today","in "&amp;($H98-TODAY())&amp;"d"))))</f>
        <v/>
      </c>
      <c r="J98" s="32" t="n"/>
      <c r="K98" s="32" t="n"/>
    </row>
    <row r="99" ht="18" customHeight="1">
      <c r="A99" s="32" t="n"/>
      <c r="B99" s="32" t="n"/>
      <c r="C99" s="32" t="n"/>
      <c r="D99" s="32" t="n"/>
      <c r="E99" s="32" t="n"/>
      <c r="F99" s="32" t="n"/>
      <c r="G99" s="33" t="n"/>
      <c r="H99" s="35">
        <f>IF($G99="","",$G99+4)</f>
        <v/>
      </c>
      <c r="I99" s="36">
        <f>IF($G99="","",IF(OR($F99="Closed",$F99="Spoke"),"-",IF(TODAY()&gt;$H99,"Due, "&amp;(TODAY()-$H99)&amp;"d late",IF(TODAY()=$H99,"Due today","in "&amp;($H99-TODAY())&amp;"d"))))</f>
        <v/>
      </c>
      <c r="J99" s="32" t="n"/>
      <c r="K99" s="32" t="n"/>
    </row>
    <row r="100" ht="18" customHeight="1">
      <c r="A100" s="32" t="n"/>
      <c r="B100" s="32" t="n"/>
      <c r="C100" s="32" t="n"/>
      <c r="D100" s="32" t="n"/>
      <c r="E100" s="32" t="n"/>
      <c r="F100" s="32" t="n"/>
      <c r="G100" s="33" t="n"/>
      <c r="H100" s="35">
        <f>IF($G100="","",$G100+4)</f>
        <v/>
      </c>
      <c r="I100" s="36">
        <f>IF($G100="","",IF(OR($F100="Closed",$F100="Spoke"),"-",IF(TODAY()&gt;$H100,"Due, "&amp;(TODAY()-$H100)&amp;"d late",IF(TODAY()=$H100,"Due today","in "&amp;($H100-TODAY())&amp;"d"))))</f>
        <v/>
      </c>
      <c r="J100" s="32" t="n"/>
      <c r="K100" s="32" t="n"/>
    </row>
    <row r="101" ht="18" customHeight="1">
      <c r="A101" s="32" t="n"/>
      <c r="B101" s="32" t="n"/>
      <c r="C101" s="32" t="n"/>
      <c r="D101" s="32" t="n"/>
      <c r="E101" s="32" t="n"/>
      <c r="F101" s="32" t="n"/>
      <c r="G101" s="33" t="n"/>
      <c r="H101" s="35">
        <f>IF($G101="","",$G101+4)</f>
        <v/>
      </c>
      <c r="I101" s="36">
        <f>IF($G101="","",IF(OR($F101="Closed",$F101="Spoke"),"-",IF(TODAY()&gt;$H101,"Due, "&amp;(TODAY()-$H101)&amp;"d late",IF(TODAY()=$H101,"Due today","in "&amp;($H101-TODAY())&amp;"d"))))</f>
        <v/>
      </c>
      <c r="J101" s="32" t="n"/>
      <c r="K101" s="32" t="n"/>
    </row>
    <row r="102" ht="18" customHeight="1">
      <c r="A102" s="32" t="n"/>
      <c r="B102" s="32" t="n"/>
      <c r="C102" s="32" t="n"/>
      <c r="D102" s="32" t="n"/>
      <c r="E102" s="32" t="n"/>
      <c r="F102" s="32" t="n"/>
      <c r="G102" s="33" t="n"/>
      <c r="H102" s="35">
        <f>IF($G102="","",$G102+4)</f>
        <v/>
      </c>
      <c r="I102" s="36">
        <f>IF($G102="","",IF(OR($F102="Closed",$F102="Spoke"),"-",IF(TODAY()&gt;$H102,"Due, "&amp;(TODAY()-$H102)&amp;"d late",IF(TODAY()=$H102,"Due today","in "&amp;($H102-TODAY())&amp;"d"))))</f>
        <v/>
      </c>
      <c r="J102" s="32" t="n"/>
      <c r="K102" s="32" t="n"/>
    </row>
    <row r="103" ht="18" customHeight="1">
      <c r="A103" s="32" t="n"/>
      <c r="B103" s="32" t="n"/>
      <c r="C103" s="32" t="n"/>
      <c r="D103" s="32" t="n"/>
      <c r="E103" s="32" t="n"/>
      <c r="F103" s="32" t="n"/>
      <c r="G103" s="33" t="n"/>
      <c r="H103" s="35">
        <f>IF($G103="","",$G103+4)</f>
        <v/>
      </c>
      <c r="I103" s="36">
        <f>IF($G103="","",IF(OR($F103="Closed",$F103="Spoke"),"-",IF(TODAY()&gt;$H103,"Due, "&amp;(TODAY()-$H103)&amp;"d late",IF(TODAY()=$H103,"Due today","in "&amp;($H103-TODAY())&amp;"d"))))</f>
        <v/>
      </c>
      <c r="J103" s="32" t="n"/>
      <c r="K103" s="32" t="n"/>
    </row>
    <row r="104" ht="18" customHeight="1">
      <c r="A104" s="32" t="n"/>
      <c r="B104" s="32" t="n"/>
      <c r="C104" s="32" t="n"/>
      <c r="D104" s="32" t="n"/>
      <c r="E104" s="32" t="n"/>
      <c r="F104" s="32" t="n"/>
      <c r="G104" s="33" t="n"/>
      <c r="H104" s="35">
        <f>IF($G104="","",$G104+4)</f>
        <v/>
      </c>
      <c r="I104" s="36">
        <f>IF($G104="","",IF(OR($F104="Closed",$F104="Spoke"),"-",IF(TODAY()&gt;$H104,"Due, "&amp;(TODAY()-$H104)&amp;"d late",IF(TODAY()=$H104,"Due today","in "&amp;($H104-TODAY())&amp;"d"))))</f>
        <v/>
      </c>
      <c r="J104" s="32" t="n"/>
      <c r="K104" s="32" t="n"/>
    </row>
    <row r="105" ht="18" customHeight="1">
      <c r="A105" s="32" t="n"/>
      <c r="B105" s="32" t="n"/>
      <c r="C105" s="32" t="n"/>
      <c r="D105" s="32" t="n"/>
      <c r="E105" s="32" t="n"/>
      <c r="F105" s="32" t="n"/>
      <c r="G105" s="33" t="n"/>
      <c r="H105" s="35">
        <f>IF($G105="","",$G105+4)</f>
        <v/>
      </c>
      <c r="I105" s="36">
        <f>IF($G105="","",IF(OR($F105="Closed",$F105="Spoke"),"-",IF(TODAY()&gt;$H105,"Due, "&amp;(TODAY()-$H105)&amp;"d late",IF(TODAY()=$H105,"Due today","in "&amp;($H105-TODAY())&amp;"d"))))</f>
        <v/>
      </c>
      <c r="J105" s="32" t="n"/>
      <c r="K105" s="32" t="n"/>
    </row>
    <row r="106" ht="18" customHeight="1">
      <c r="A106" s="32" t="n"/>
      <c r="B106" s="32" t="n"/>
      <c r="C106" s="32" t="n"/>
      <c r="D106" s="32" t="n"/>
      <c r="E106" s="32" t="n"/>
      <c r="F106" s="32" t="n"/>
      <c r="G106" s="33" t="n"/>
      <c r="H106" s="35">
        <f>IF($G106="","",$G106+4)</f>
        <v/>
      </c>
      <c r="I106" s="36">
        <f>IF($G106="","",IF(OR($F106="Closed",$F106="Spoke"),"-",IF(TODAY()&gt;$H106,"Due, "&amp;(TODAY()-$H106)&amp;"d late",IF(TODAY()=$H106,"Due today","in "&amp;($H106-TODAY())&amp;"d"))))</f>
        <v/>
      </c>
      <c r="J106" s="32" t="n"/>
      <c r="K106" s="32" t="n"/>
    </row>
    <row r="107" ht="18" customHeight="1">
      <c r="A107" s="32" t="n"/>
      <c r="B107" s="32" t="n"/>
      <c r="C107" s="32" t="n"/>
      <c r="D107" s="32" t="n"/>
      <c r="E107" s="32" t="n"/>
      <c r="F107" s="32" t="n"/>
      <c r="G107" s="33" t="n"/>
      <c r="H107" s="35">
        <f>IF($G107="","",$G107+4)</f>
        <v/>
      </c>
      <c r="I107" s="36">
        <f>IF($G107="","",IF(OR($F107="Closed",$F107="Spoke"),"-",IF(TODAY()&gt;$H107,"Due, "&amp;(TODAY()-$H107)&amp;"d late",IF(TODAY()=$H107,"Due today","in "&amp;($H107-TODAY())&amp;"d"))))</f>
        <v/>
      </c>
      <c r="J107" s="32" t="n"/>
      <c r="K107" s="32" t="n"/>
    </row>
    <row r="108" ht="18" customHeight="1">
      <c r="A108" s="32" t="n"/>
      <c r="B108" s="32" t="n"/>
      <c r="C108" s="32" t="n"/>
      <c r="D108" s="32" t="n"/>
      <c r="E108" s="32" t="n"/>
      <c r="F108" s="32" t="n"/>
      <c r="G108" s="33" t="n"/>
      <c r="H108" s="35">
        <f>IF($G108="","",$G108+4)</f>
        <v/>
      </c>
      <c r="I108" s="36">
        <f>IF($G108="","",IF(OR($F108="Closed",$F108="Spoke"),"-",IF(TODAY()&gt;$H108,"Due, "&amp;(TODAY()-$H108)&amp;"d late",IF(TODAY()=$H108,"Due today","in "&amp;($H108-TODAY())&amp;"d"))))</f>
        <v/>
      </c>
      <c r="J108" s="32" t="n"/>
      <c r="K108" s="32" t="n"/>
    </row>
    <row r="109" ht="18" customHeight="1">
      <c r="A109" s="32" t="n"/>
      <c r="B109" s="32" t="n"/>
      <c r="C109" s="32" t="n"/>
      <c r="D109" s="32" t="n"/>
      <c r="E109" s="32" t="n"/>
      <c r="F109" s="32" t="n"/>
      <c r="G109" s="33" t="n"/>
      <c r="H109" s="35">
        <f>IF($G109="","",$G109+4)</f>
        <v/>
      </c>
      <c r="I109" s="36">
        <f>IF($G109="","",IF(OR($F109="Closed",$F109="Spoke"),"-",IF(TODAY()&gt;$H109,"Due, "&amp;(TODAY()-$H109)&amp;"d late",IF(TODAY()=$H109,"Due today","in "&amp;($H109-TODAY())&amp;"d"))))</f>
        <v/>
      </c>
      <c r="J109" s="32" t="n"/>
      <c r="K109" s="32" t="n"/>
    </row>
    <row r="110" ht="18" customHeight="1">
      <c r="A110" s="32" t="n"/>
      <c r="B110" s="32" t="n"/>
      <c r="C110" s="32" t="n"/>
      <c r="D110" s="32" t="n"/>
      <c r="E110" s="32" t="n"/>
      <c r="F110" s="32" t="n"/>
      <c r="G110" s="33" t="n"/>
      <c r="H110" s="35">
        <f>IF($G110="","",$G110+4)</f>
        <v/>
      </c>
      <c r="I110" s="36">
        <f>IF($G110="","",IF(OR($F110="Closed",$F110="Spoke"),"-",IF(TODAY()&gt;$H110,"Due, "&amp;(TODAY()-$H110)&amp;"d late",IF(TODAY()=$H110,"Due today","in "&amp;($H110-TODAY())&amp;"d"))))</f>
        <v/>
      </c>
      <c r="J110" s="32" t="n"/>
      <c r="K110" s="32" t="n"/>
    </row>
    <row r="111" ht="18" customHeight="1">
      <c r="A111" s="32" t="n"/>
      <c r="B111" s="32" t="n"/>
      <c r="C111" s="32" t="n"/>
      <c r="D111" s="32" t="n"/>
      <c r="E111" s="32" t="n"/>
      <c r="F111" s="32" t="n"/>
      <c r="G111" s="33" t="n"/>
      <c r="H111" s="35">
        <f>IF($G111="","",$G111+4)</f>
        <v/>
      </c>
      <c r="I111" s="36">
        <f>IF($G111="","",IF(OR($F111="Closed",$F111="Spoke"),"-",IF(TODAY()&gt;$H111,"Due, "&amp;(TODAY()-$H111)&amp;"d late",IF(TODAY()=$H111,"Due today","in "&amp;($H111-TODAY())&amp;"d"))))</f>
        <v/>
      </c>
      <c r="J111" s="32" t="n"/>
      <c r="K111" s="32" t="n"/>
    </row>
    <row r="112" ht="18" customHeight="1">
      <c r="A112" s="32" t="n"/>
      <c r="B112" s="32" t="n"/>
      <c r="C112" s="32" t="n"/>
      <c r="D112" s="32" t="n"/>
      <c r="E112" s="32" t="n"/>
      <c r="F112" s="32" t="n"/>
      <c r="G112" s="33" t="n"/>
      <c r="H112" s="35">
        <f>IF($G112="","",$G112+4)</f>
        <v/>
      </c>
      <c r="I112" s="36">
        <f>IF($G112="","",IF(OR($F112="Closed",$F112="Spoke"),"-",IF(TODAY()&gt;$H112,"Due, "&amp;(TODAY()-$H112)&amp;"d late",IF(TODAY()=$H112,"Due today","in "&amp;($H112-TODAY())&amp;"d"))))</f>
        <v/>
      </c>
      <c r="J112" s="32" t="n"/>
      <c r="K112" s="32" t="n"/>
    </row>
    <row r="113" ht="18" customHeight="1">
      <c r="A113" s="32" t="n"/>
      <c r="B113" s="32" t="n"/>
      <c r="C113" s="32" t="n"/>
      <c r="D113" s="32" t="n"/>
      <c r="E113" s="32" t="n"/>
      <c r="F113" s="32" t="n"/>
      <c r="G113" s="33" t="n"/>
      <c r="H113" s="35">
        <f>IF($G113="","",$G113+4)</f>
        <v/>
      </c>
      <c r="I113" s="36">
        <f>IF($G113="","",IF(OR($F113="Closed",$F113="Spoke"),"-",IF(TODAY()&gt;$H113,"Due, "&amp;(TODAY()-$H113)&amp;"d late",IF(TODAY()=$H113,"Due today","in "&amp;($H113-TODAY())&amp;"d"))))</f>
        <v/>
      </c>
      <c r="J113" s="32" t="n"/>
      <c r="K113" s="32" t="n"/>
    </row>
    <row r="114" ht="18" customHeight="1">
      <c r="A114" s="32" t="n"/>
      <c r="B114" s="32" t="n"/>
      <c r="C114" s="32" t="n"/>
      <c r="D114" s="32" t="n"/>
      <c r="E114" s="32" t="n"/>
      <c r="F114" s="32" t="n"/>
      <c r="G114" s="33" t="n"/>
      <c r="H114" s="35">
        <f>IF($G114="","",$G114+4)</f>
        <v/>
      </c>
      <c r="I114" s="36">
        <f>IF($G114="","",IF(OR($F114="Closed",$F114="Spoke"),"-",IF(TODAY()&gt;$H114,"Due, "&amp;(TODAY()-$H114)&amp;"d late",IF(TODAY()=$H114,"Due today","in "&amp;($H114-TODAY())&amp;"d"))))</f>
        <v/>
      </c>
      <c r="J114" s="32" t="n"/>
      <c r="K114" s="32" t="n"/>
    </row>
    <row r="115" ht="18" customHeight="1">
      <c r="A115" s="32" t="n"/>
      <c r="B115" s="32" t="n"/>
      <c r="C115" s="32" t="n"/>
      <c r="D115" s="32" t="n"/>
      <c r="E115" s="32" t="n"/>
      <c r="F115" s="32" t="n"/>
      <c r="G115" s="33" t="n"/>
      <c r="H115" s="35">
        <f>IF($G115="","",$G115+4)</f>
        <v/>
      </c>
      <c r="I115" s="36">
        <f>IF($G115="","",IF(OR($F115="Closed",$F115="Spoke"),"-",IF(TODAY()&gt;$H115,"Due, "&amp;(TODAY()-$H115)&amp;"d late",IF(TODAY()=$H115,"Due today","in "&amp;($H115-TODAY())&amp;"d"))))</f>
        <v/>
      </c>
      <c r="J115" s="32" t="n"/>
      <c r="K115" s="32" t="n"/>
    </row>
    <row r="116" ht="18" customHeight="1">
      <c r="A116" s="32" t="n"/>
      <c r="B116" s="32" t="n"/>
      <c r="C116" s="32" t="n"/>
      <c r="D116" s="32" t="n"/>
      <c r="E116" s="32" t="n"/>
      <c r="F116" s="32" t="n"/>
      <c r="G116" s="33" t="n"/>
      <c r="H116" s="35">
        <f>IF($G116="","",$G116+4)</f>
        <v/>
      </c>
      <c r="I116" s="36">
        <f>IF($G116="","",IF(OR($F116="Closed",$F116="Spoke"),"-",IF(TODAY()&gt;$H116,"Due, "&amp;(TODAY()-$H116)&amp;"d late",IF(TODAY()=$H116,"Due today","in "&amp;($H116-TODAY())&amp;"d"))))</f>
        <v/>
      </c>
      <c r="J116" s="32" t="n"/>
      <c r="K116" s="32" t="n"/>
    </row>
    <row r="117" ht="18" customHeight="1">
      <c r="A117" s="32" t="n"/>
      <c r="B117" s="32" t="n"/>
      <c r="C117" s="32" t="n"/>
      <c r="D117" s="32" t="n"/>
      <c r="E117" s="32" t="n"/>
      <c r="F117" s="32" t="n"/>
      <c r="G117" s="33" t="n"/>
      <c r="H117" s="35">
        <f>IF($G117="","",$G117+4)</f>
        <v/>
      </c>
      <c r="I117" s="36">
        <f>IF($G117="","",IF(OR($F117="Closed",$F117="Spoke"),"-",IF(TODAY()&gt;$H117,"Due, "&amp;(TODAY()-$H117)&amp;"d late",IF(TODAY()=$H117,"Due today","in "&amp;($H117-TODAY())&amp;"d"))))</f>
        <v/>
      </c>
      <c r="J117" s="32" t="n"/>
      <c r="K117" s="32" t="n"/>
    </row>
    <row r="118" ht="18" customHeight="1">
      <c r="A118" s="32" t="n"/>
      <c r="B118" s="32" t="n"/>
      <c r="C118" s="32" t="n"/>
      <c r="D118" s="32" t="n"/>
      <c r="E118" s="32" t="n"/>
      <c r="F118" s="32" t="n"/>
      <c r="G118" s="33" t="n"/>
      <c r="H118" s="35">
        <f>IF($G118="","",$G118+4)</f>
        <v/>
      </c>
      <c r="I118" s="36">
        <f>IF($G118="","",IF(OR($F118="Closed",$F118="Spoke"),"-",IF(TODAY()&gt;$H118,"Due, "&amp;(TODAY()-$H118)&amp;"d late",IF(TODAY()=$H118,"Due today","in "&amp;($H118-TODAY())&amp;"d"))))</f>
        <v/>
      </c>
      <c r="J118" s="32" t="n"/>
      <c r="K118" s="32" t="n"/>
    </row>
    <row r="119" ht="18" customHeight="1">
      <c r="A119" s="32" t="n"/>
      <c r="B119" s="32" t="n"/>
      <c r="C119" s="32" t="n"/>
      <c r="D119" s="32" t="n"/>
      <c r="E119" s="32" t="n"/>
      <c r="F119" s="32" t="n"/>
      <c r="G119" s="33" t="n"/>
      <c r="H119" s="35">
        <f>IF($G119="","",$G119+4)</f>
        <v/>
      </c>
      <c r="I119" s="36">
        <f>IF($G119="","",IF(OR($F119="Closed",$F119="Spoke"),"-",IF(TODAY()&gt;$H119,"Due, "&amp;(TODAY()-$H119)&amp;"d late",IF(TODAY()=$H119,"Due today","in "&amp;($H119-TODAY())&amp;"d"))))</f>
        <v/>
      </c>
      <c r="J119" s="32" t="n"/>
      <c r="K119" s="32" t="n"/>
    </row>
    <row r="120" ht="18" customHeight="1">
      <c r="A120" s="32" t="n"/>
      <c r="B120" s="32" t="n"/>
      <c r="C120" s="32" t="n"/>
      <c r="D120" s="32" t="n"/>
      <c r="E120" s="32" t="n"/>
      <c r="F120" s="32" t="n"/>
      <c r="G120" s="33" t="n"/>
      <c r="H120" s="35">
        <f>IF($G120="","",$G120+4)</f>
        <v/>
      </c>
      <c r="I120" s="36">
        <f>IF($G120="","",IF(OR($F120="Closed",$F120="Spoke"),"-",IF(TODAY()&gt;$H120,"Due, "&amp;(TODAY()-$H120)&amp;"d late",IF(TODAY()=$H120,"Due today","in "&amp;($H120-TODAY())&amp;"d"))))</f>
        <v/>
      </c>
      <c r="J120" s="32" t="n"/>
      <c r="K120" s="32" t="n"/>
    </row>
    <row r="121" ht="18" customHeight="1">
      <c r="A121" s="32" t="n"/>
      <c r="B121" s="32" t="n"/>
      <c r="C121" s="32" t="n"/>
      <c r="D121" s="32" t="n"/>
      <c r="E121" s="32" t="n"/>
      <c r="F121" s="32" t="n"/>
      <c r="G121" s="33" t="n"/>
      <c r="H121" s="35">
        <f>IF($G121="","",$G121+4)</f>
        <v/>
      </c>
      <c r="I121" s="36">
        <f>IF($G121="","",IF(OR($F121="Closed",$F121="Spoke"),"-",IF(TODAY()&gt;$H121,"Due, "&amp;(TODAY()-$H121)&amp;"d late",IF(TODAY()=$H121,"Due today","in "&amp;($H121-TODAY())&amp;"d"))))</f>
        <v/>
      </c>
      <c r="J121" s="32" t="n"/>
      <c r="K121" s="32" t="n"/>
    </row>
    <row r="122" ht="18" customHeight="1">
      <c r="A122" s="32" t="n"/>
      <c r="B122" s="32" t="n"/>
      <c r="C122" s="32" t="n"/>
      <c r="D122" s="32" t="n"/>
      <c r="E122" s="32" t="n"/>
      <c r="F122" s="32" t="n"/>
      <c r="G122" s="33" t="n"/>
      <c r="H122" s="35">
        <f>IF($G122="","",$G122+4)</f>
        <v/>
      </c>
      <c r="I122" s="36">
        <f>IF($G122="","",IF(OR($F122="Closed",$F122="Spoke"),"-",IF(TODAY()&gt;$H122,"Due, "&amp;(TODAY()-$H122)&amp;"d late",IF(TODAY()=$H122,"Due today","in "&amp;($H122-TODAY())&amp;"d"))))</f>
        <v/>
      </c>
      <c r="J122" s="32" t="n"/>
      <c r="K122" s="32" t="n"/>
    </row>
    <row r="123" ht="18" customHeight="1">
      <c r="A123" s="32" t="n"/>
      <c r="B123" s="32" t="n"/>
      <c r="C123" s="32" t="n"/>
      <c r="D123" s="32" t="n"/>
      <c r="E123" s="32" t="n"/>
      <c r="F123" s="32" t="n"/>
      <c r="G123" s="33" t="n"/>
      <c r="H123" s="35">
        <f>IF($G123="","",$G123+4)</f>
        <v/>
      </c>
      <c r="I123" s="36">
        <f>IF($G123="","",IF(OR($F123="Closed",$F123="Spoke"),"-",IF(TODAY()&gt;$H123,"Due, "&amp;(TODAY()-$H123)&amp;"d late",IF(TODAY()=$H123,"Due today","in "&amp;($H123-TODAY())&amp;"d"))))</f>
        <v/>
      </c>
      <c r="J123" s="32" t="n"/>
      <c r="K123" s="32" t="n"/>
    </row>
    <row r="124" ht="18" customHeight="1">
      <c r="A124" s="32" t="n"/>
      <c r="B124" s="32" t="n"/>
      <c r="C124" s="32" t="n"/>
      <c r="D124" s="32" t="n"/>
      <c r="E124" s="32" t="n"/>
      <c r="F124" s="32" t="n"/>
      <c r="G124" s="33" t="n"/>
      <c r="H124" s="35">
        <f>IF($G124="","",$G124+4)</f>
        <v/>
      </c>
      <c r="I124" s="36">
        <f>IF($G124="","",IF(OR($F124="Closed",$F124="Spoke"),"-",IF(TODAY()&gt;$H124,"Due, "&amp;(TODAY()-$H124)&amp;"d late",IF(TODAY()=$H124,"Due today","in "&amp;($H124-TODAY())&amp;"d"))))</f>
        <v/>
      </c>
      <c r="J124" s="32" t="n"/>
      <c r="K124" s="32" t="n"/>
    </row>
    <row r="125" ht="18" customHeight="1">
      <c r="A125" s="32" t="n"/>
      <c r="B125" s="32" t="n"/>
      <c r="C125" s="32" t="n"/>
      <c r="D125" s="32" t="n"/>
      <c r="E125" s="32" t="n"/>
      <c r="F125" s="32" t="n"/>
      <c r="G125" s="33" t="n"/>
      <c r="H125" s="35">
        <f>IF($G125="","",$G125+4)</f>
        <v/>
      </c>
      <c r="I125" s="36">
        <f>IF($G125="","",IF(OR($F125="Closed",$F125="Spoke"),"-",IF(TODAY()&gt;$H125,"Due, "&amp;(TODAY()-$H125)&amp;"d late",IF(TODAY()=$H125,"Due today","in "&amp;($H125-TODAY())&amp;"d"))))</f>
        <v/>
      </c>
      <c r="J125" s="32" t="n"/>
      <c r="K125" s="32" t="n"/>
    </row>
    <row r="126" ht="18" customHeight="1">
      <c r="A126" s="32" t="n"/>
      <c r="B126" s="32" t="n"/>
      <c r="C126" s="32" t="n"/>
      <c r="D126" s="32" t="n"/>
      <c r="E126" s="32" t="n"/>
      <c r="F126" s="32" t="n"/>
      <c r="G126" s="33" t="n"/>
      <c r="H126" s="35">
        <f>IF($G126="","",$G126+4)</f>
        <v/>
      </c>
      <c r="I126" s="36">
        <f>IF($G126="","",IF(OR($F126="Closed",$F126="Spoke"),"-",IF(TODAY()&gt;$H126,"Due, "&amp;(TODAY()-$H126)&amp;"d late",IF(TODAY()=$H126,"Due today","in "&amp;($H126-TODAY())&amp;"d"))))</f>
        <v/>
      </c>
      <c r="J126" s="32" t="n"/>
      <c r="K126" s="32" t="n"/>
    </row>
    <row r="127" ht="18" customHeight="1">
      <c r="A127" s="32" t="n"/>
      <c r="B127" s="32" t="n"/>
      <c r="C127" s="32" t="n"/>
      <c r="D127" s="32" t="n"/>
      <c r="E127" s="32" t="n"/>
      <c r="F127" s="32" t="n"/>
      <c r="G127" s="33" t="n"/>
      <c r="H127" s="35">
        <f>IF($G127="","",$G127+4)</f>
        <v/>
      </c>
      <c r="I127" s="36">
        <f>IF($G127="","",IF(OR($F127="Closed",$F127="Spoke"),"-",IF(TODAY()&gt;$H127,"Due, "&amp;(TODAY()-$H127)&amp;"d late",IF(TODAY()=$H127,"Due today","in "&amp;($H127-TODAY())&amp;"d"))))</f>
        <v/>
      </c>
      <c r="J127" s="32" t="n"/>
      <c r="K127" s="32" t="n"/>
    </row>
    <row r="128" ht="18" customHeight="1">
      <c r="A128" s="32" t="n"/>
      <c r="B128" s="32" t="n"/>
      <c r="C128" s="32" t="n"/>
      <c r="D128" s="32" t="n"/>
      <c r="E128" s="32" t="n"/>
      <c r="F128" s="32" t="n"/>
      <c r="G128" s="33" t="n"/>
      <c r="H128" s="35">
        <f>IF($G128="","",$G128+4)</f>
        <v/>
      </c>
      <c r="I128" s="36">
        <f>IF($G128="","",IF(OR($F128="Closed",$F128="Spoke"),"-",IF(TODAY()&gt;$H128,"Due, "&amp;(TODAY()-$H128)&amp;"d late",IF(TODAY()=$H128,"Due today","in "&amp;($H128-TODAY())&amp;"d"))))</f>
        <v/>
      </c>
      <c r="J128" s="32" t="n"/>
      <c r="K128" s="32" t="n"/>
    </row>
    <row r="129" ht="18" customHeight="1">
      <c r="A129" s="32" t="n"/>
      <c r="B129" s="32" t="n"/>
      <c r="C129" s="32" t="n"/>
      <c r="D129" s="32" t="n"/>
      <c r="E129" s="32" t="n"/>
      <c r="F129" s="32" t="n"/>
      <c r="G129" s="33" t="n"/>
      <c r="H129" s="35">
        <f>IF($G129="","",$G129+4)</f>
        <v/>
      </c>
      <c r="I129" s="36">
        <f>IF($G129="","",IF(OR($F129="Closed",$F129="Spoke"),"-",IF(TODAY()&gt;$H129,"Due, "&amp;(TODAY()-$H129)&amp;"d late",IF(TODAY()=$H129,"Due today","in "&amp;($H129-TODAY())&amp;"d"))))</f>
        <v/>
      </c>
      <c r="J129" s="32" t="n"/>
      <c r="K129" s="32" t="n"/>
    </row>
    <row r="130" ht="18" customHeight="1">
      <c r="A130" s="32" t="n"/>
      <c r="B130" s="32" t="n"/>
      <c r="C130" s="32" t="n"/>
      <c r="D130" s="32" t="n"/>
      <c r="E130" s="32" t="n"/>
      <c r="F130" s="32" t="n"/>
      <c r="G130" s="33" t="n"/>
      <c r="H130" s="35">
        <f>IF($G130="","",$G130+4)</f>
        <v/>
      </c>
      <c r="I130" s="36">
        <f>IF($G130="","",IF(OR($F130="Closed",$F130="Spoke"),"-",IF(TODAY()&gt;$H130,"Due, "&amp;(TODAY()-$H130)&amp;"d late",IF(TODAY()=$H130,"Due today","in "&amp;($H130-TODAY())&amp;"d"))))</f>
        <v/>
      </c>
      <c r="J130" s="32" t="n"/>
      <c r="K130" s="32" t="n"/>
    </row>
    <row r="131" ht="18" customHeight="1">
      <c r="A131" s="32" t="n"/>
      <c r="B131" s="32" t="n"/>
      <c r="C131" s="32" t="n"/>
      <c r="D131" s="32" t="n"/>
      <c r="E131" s="32" t="n"/>
      <c r="F131" s="32" t="n"/>
      <c r="G131" s="33" t="n"/>
      <c r="H131" s="35">
        <f>IF($G131="","",$G131+4)</f>
        <v/>
      </c>
      <c r="I131" s="36">
        <f>IF($G131="","",IF(OR($F131="Closed",$F131="Spoke"),"-",IF(TODAY()&gt;$H131,"Due, "&amp;(TODAY()-$H131)&amp;"d late",IF(TODAY()=$H131,"Due today","in "&amp;($H131-TODAY())&amp;"d"))))</f>
        <v/>
      </c>
      <c r="J131" s="32" t="n"/>
      <c r="K131" s="32" t="n"/>
    </row>
    <row r="132" ht="18" customHeight="1">
      <c r="A132" s="32" t="n"/>
      <c r="B132" s="32" t="n"/>
      <c r="C132" s="32" t="n"/>
      <c r="D132" s="32" t="n"/>
      <c r="E132" s="32" t="n"/>
      <c r="F132" s="32" t="n"/>
      <c r="G132" s="33" t="n"/>
      <c r="H132" s="35">
        <f>IF($G132="","",$G132+4)</f>
        <v/>
      </c>
      <c r="I132" s="36">
        <f>IF($G132="","",IF(OR($F132="Closed",$F132="Spoke"),"-",IF(TODAY()&gt;$H132,"Due, "&amp;(TODAY()-$H132)&amp;"d late",IF(TODAY()=$H132,"Due today","in "&amp;($H132-TODAY())&amp;"d"))))</f>
        <v/>
      </c>
      <c r="J132" s="32" t="n"/>
      <c r="K132" s="32" t="n"/>
    </row>
    <row r="133" ht="18" customHeight="1">
      <c r="A133" s="32" t="n"/>
      <c r="B133" s="32" t="n"/>
      <c r="C133" s="32" t="n"/>
      <c r="D133" s="32" t="n"/>
      <c r="E133" s="32" t="n"/>
      <c r="F133" s="32" t="n"/>
      <c r="G133" s="33" t="n"/>
      <c r="H133" s="35">
        <f>IF($G133="","",$G133+4)</f>
        <v/>
      </c>
      <c r="I133" s="36">
        <f>IF($G133="","",IF(OR($F133="Closed",$F133="Spoke"),"-",IF(TODAY()&gt;$H133,"Due, "&amp;(TODAY()-$H133)&amp;"d late",IF(TODAY()=$H133,"Due today","in "&amp;($H133-TODAY())&amp;"d"))))</f>
        <v/>
      </c>
      <c r="J133" s="32" t="n"/>
      <c r="K133" s="32" t="n"/>
    </row>
    <row r="134" ht="18" customHeight="1">
      <c r="A134" s="32" t="n"/>
      <c r="B134" s="32" t="n"/>
      <c r="C134" s="32" t="n"/>
      <c r="D134" s="32" t="n"/>
      <c r="E134" s="32" t="n"/>
      <c r="F134" s="32" t="n"/>
      <c r="G134" s="33" t="n"/>
      <c r="H134" s="35">
        <f>IF($G134="","",$G134+4)</f>
        <v/>
      </c>
      <c r="I134" s="36">
        <f>IF($G134="","",IF(OR($F134="Closed",$F134="Spoke"),"-",IF(TODAY()&gt;$H134,"Due, "&amp;(TODAY()-$H134)&amp;"d late",IF(TODAY()=$H134,"Due today","in "&amp;($H134-TODAY())&amp;"d"))))</f>
        <v/>
      </c>
      <c r="J134" s="32" t="n"/>
      <c r="K134" s="32" t="n"/>
    </row>
    <row r="135" ht="18" customHeight="1">
      <c r="A135" s="32" t="n"/>
      <c r="B135" s="32" t="n"/>
      <c r="C135" s="32" t="n"/>
      <c r="D135" s="32" t="n"/>
      <c r="E135" s="32" t="n"/>
      <c r="F135" s="32" t="n"/>
      <c r="G135" s="33" t="n"/>
      <c r="H135" s="35">
        <f>IF($G135="","",$G135+4)</f>
        <v/>
      </c>
      <c r="I135" s="36">
        <f>IF($G135="","",IF(OR($F135="Closed",$F135="Spoke"),"-",IF(TODAY()&gt;$H135,"Due, "&amp;(TODAY()-$H135)&amp;"d late",IF(TODAY()=$H135,"Due today","in "&amp;($H135-TODAY())&amp;"d"))))</f>
        <v/>
      </c>
      <c r="J135" s="32" t="n"/>
      <c r="K135" s="32" t="n"/>
    </row>
    <row r="136" ht="18" customHeight="1">
      <c r="A136" s="32" t="n"/>
      <c r="B136" s="32" t="n"/>
      <c r="C136" s="32" t="n"/>
      <c r="D136" s="32" t="n"/>
      <c r="E136" s="32" t="n"/>
      <c r="F136" s="32" t="n"/>
      <c r="G136" s="33" t="n"/>
      <c r="H136" s="35">
        <f>IF($G136="","",$G136+4)</f>
        <v/>
      </c>
      <c r="I136" s="36">
        <f>IF($G136="","",IF(OR($F136="Closed",$F136="Spoke"),"-",IF(TODAY()&gt;$H136,"Due, "&amp;(TODAY()-$H136)&amp;"d late",IF(TODAY()=$H136,"Due today","in "&amp;($H136-TODAY())&amp;"d"))))</f>
        <v/>
      </c>
      <c r="J136" s="32" t="n"/>
      <c r="K136" s="32" t="n"/>
    </row>
    <row r="137" ht="18" customHeight="1">
      <c r="A137" s="32" t="n"/>
      <c r="B137" s="32" t="n"/>
      <c r="C137" s="32" t="n"/>
      <c r="D137" s="32" t="n"/>
      <c r="E137" s="32" t="n"/>
      <c r="F137" s="32" t="n"/>
      <c r="G137" s="33" t="n"/>
      <c r="H137" s="35">
        <f>IF($G137="","",$G137+4)</f>
        <v/>
      </c>
      <c r="I137" s="36">
        <f>IF($G137="","",IF(OR($F137="Closed",$F137="Spoke"),"-",IF(TODAY()&gt;$H137,"Due, "&amp;(TODAY()-$H137)&amp;"d late",IF(TODAY()=$H137,"Due today","in "&amp;($H137-TODAY())&amp;"d"))))</f>
        <v/>
      </c>
      <c r="J137" s="32" t="n"/>
      <c r="K137" s="32" t="n"/>
    </row>
    <row r="138" ht="18" customHeight="1">
      <c r="A138" s="32" t="n"/>
      <c r="B138" s="32" t="n"/>
      <c r="C138" s="32" t="n"/>
      <c r="D138" s="32" t="n"/>
      <c r="E138" s="32" t="n"/>
      <c r="F138" s="32" t="n"/>
      <c r="G138" s="33" t="n"/>
      <c r="H138" s="35">
        <f>IF($G138="","",$G138+4)</f>
        <v/>
      </c>
      <c r="I138" s="36">
        <f>IF($G138="","",IF(OR($F138="Closed",$F138="Spoke"),"-",IF(TODAY()&gt;$H138,"Due, "&amp;(TODAY()-$H138)&amp;"d late",IF(TODAY()=$H138,"Due today","in "&amp;($H138-TODAY())&amp;"d"))))</f>
        <v/>
      </c>
      <c r="J138" s="32" t="n"/>
      <c r="K138" s="32" t="n"/>
    </row>
    <row r="139" ht="18" customHeight="1">
      <c r="A139" s="32" t="n"/>
      <c r="B139" s="32" t="n"/>
      <c r="C139" s="32" t="n"/>
      <c r="D139" s="32" t="n"/>
      <c r="E139" s="32" t="n"/>
      <c r="F139" s="32" t="n"/>
      <c r="G139" s="33" t="n"/>
      <c r="H139" s="35">
        <f>IF($G139="","",$G139+4)</f>
        <v/>
      </c>
      <c r="I139" s="36">
        <f>IF($G139="","",IF(OR($F139="Closed",$F139="Spoke"),"-",IF(TODAY()&gt;$H139,"Due, "&amp;(TODAY()-$H139)&amp;"d late",IF(TODAY()=$H139,"Due today","in "&amp;($H139-TODAY())&amp;"d"))))</f>
        <v/>
      </c>
      <c r="J139" s="32" t="n"/>
      <c r="K139" s="32" t="n"/>
    </row>
    <row r="140" ht="18" customHeight="1">
      <c r="A140" s="32" t="n"/>
      <c r="B140" s="32" t="n"/>
      <c r="C140" s="32" t="n"/>
      <c r="D140" s="32" t="n"/>
      <c r="E140" s="32" t="n"/>
      <c r="F140" s="32" t="n"/>
      <c r="G140" s="33" t="n"/>
      <c r="H140" s="35">
        <f>IF($G140="","",$G140+4)</f>
        <v/>
      </c>
      <c r="I140" s="36">
        <f>IF($G140="","",IF(OR($F140="Closed",$F140="Spoke"),"-",IF(TODAY()&gt;$H140,"Due, "&amp;(TODAY()-$H140)&amp;"d late",IF(TODAY()=$H140,"Due today","in "&amp;($H140-TODAY())&amp;"d"))))</f>
        <v/>
      </c>
      <c r="J140" s="32" t="n"/>
      <c r="K140" s="32" t="n"/>
    </row>
    <row r="141" ht="18" customHeight="1">
      <c r="A141" s="32" t="n"/>
      <c r="B141" s="32" t="n"/>
      <c r="C141" s="32" t="n"/>
      <c r="D141" s="32" t="n"/>
      <c r="E141" s="32" t="n"/>
      <c r="F141" s="32" t="n"/>
      <c r="G141" s="33" t="n"/>
      <c r="H141" s="35">
        <f>IF($G141="","",$G141+4)</f>
        <v/>
      </c>
      <c r="I141" s="36">
        <f>IF($G141="","",IF(OR($F141="Closed",$F141="Spoke"),"-",IF(TODAY()&gt;$H141,"Due, "&amp;(TODAY()-$H141)&amp;"d late",IF(TODAY()=$H141,"Due today","in "&amp;($H141-TODAY())&amp;"d"))))</f>
        <v/>
      </c>
      <c r="J141" s="32" t="n"/>
      <c r="K141" s="32" t="n"/>
    </row>
    <row r="142" ht="18" customHeight="1">
      <c r="A142" s="32" t="n"/>
      <c r="B142" s="32" t="n"/>
      <c r="C142" s="32" t="n"/>
      <c r="D142" s="32" t="n"/>
      <c r="E142" s="32" t="n"/>
      <c r="F142" s="32" t="n"/>
      <c r="G142" s="33" t="n"/>
      <c r="H142" s="35">
        <f>IF($G142="","",$G142+4)</f>
        <v/>
      </c>
      <c r="I142" s="36">
        <f>IF($G142="","",IF(OR($F142="Closed",$F142="Spoke"),"-",IF(TODAY()&gt;$H142,"Due, "&amp;(TODAY()-$H142)&amp;"d late",IF(TODAY()=$H142,"Due today","in "&amp;($H142-TODAY())&amp;"d"))))</f>
        <v/>
      </c>
      <c r="J142" s="32" t="n"/>
      <c r="K142" s="32" t="n"/>
    </row>
    <row r="143" ht="18" customHeight="1">
      <c r="A143" s="32" t="n"/>
      <c r="B143" s="32" t="n"/>
      <c r="C143" s="32" t="n"/>
      <c r="D143" s="32" t="n"/>
      <c r="E143" s="32" t="n"/>
      <c r="F143" s="32" t="n"/>
      <c r="G143" s="33" t="n"/>
      <c r="H143" s="35">
        <f>IF($G143="","",$G143+4)</f>
        <v/>
      </c>
      <c r="I143" s="36">
        <f>IF($G143="","",IF(OR($F143="Closed",$F143="Spoke"),"-",IF(TODAY()&gt;$H143,"Due, "&amp;(TODAY()-$H143)&amp;"d late",IF(TODAY()=$H143,"Due today","in "&amp;($H143-TODAY())&amp;"d"))))</f>
        <v/>
      </c>
      <c r="J143" s="32" t="n"/>
      <c r="K143" s="32" t="n"/>
    </row>
    <row r="144" ht="18" customHeight="1">
      <c r="A144" s="32" t="n"/>
      <c r="B144" s="32" t="n"/>
      <c r="C144" s="32" t="n"/>
      <c r="D144" s="32" t="n"/>
      <c r="E144" s="32" t="n"/>
      <c r="F144" s="32" t="n"/>
      <c r="G144" s="33" t="n"/>
      <c r="H144" s="35">
        <f>IF($G144="","",$G144+4)</f>
        <v/>
      </c>
      <c r="I144" s="36">
        <f>IF($G144="","",IF(OR($F144="Closed",$F144="Spoke"),"-",IF(TODAY()&gt;$H144,"Due, "&amp;(TODAY()-$H144)&amp;"d late",IF(TODAY()=$H144,"Due today","in "&amp;($H144-TODAY())&amp;"d"))))</f>
        <v/>
      </c>
      <c r="J144" s="32" t="n"/>
      <c r="K144" s="32" t="n"/>
    </row>
    <row r="145" ht="18" customHeight="1">
      <c r="A145" s="32" t="n"/>
      <c r="B145" s="32" t="n"/>
      <c r="C145" s="32" t="n"/>
      <c r="D145" s="32" t="n"/>
      <c r="E145" s="32" t="n"/>
      <c r="F145" s="32" t="n"/>
      <c r="G145" s="33" t="n"/>
      <c r="H145" s="35">
        <f>IF($G145="","",$G145+4)</f>
        <v/>
      </c>
      <c r="I145" s="36">
        <f>IF($G145="","",IF(OR($F145="Closed",$F145="Spoke"),"-",IF(TODAY()&gt;$H145,"Due, "&amp;(TODAY()-$H145)&amp;"d late",IF(TODAY()=$H145,"Due today","in "&amp;($H145-TODAY())&amp;"d"))))</f>
        <v/>
      </c>
      <c r="J145" s="32" t="n"/>
      <c r="K145" s="32" t="n"/>
    </row>
    <row r="146" ht="18" customHeight="1">
      <c r="A146" s="32" t="n"/>
      <c r="B146" s="32" t="n"/>
      <c r="C146" s="32" t="n"/>
      <c r="D146" s="32" t="n"/>
      <c r="E146" s="32" t="n"/>
      <c r="F146" s="32" t="n"/>
      <c r="G146" s="33" t="n"/>
      <c r="H146" s="35">
        <f>IF($G146="","",$G146+4)</f>
        <v/>
      </c>
      <c r="I146" s="36">
        <f>IF($G146="","",IF(OR($F146="Closed",$F146="Spoke"),"-",IF(TODAY()&gt;$H146,"Due, "&amp;(TODAY()-$H146)&amp;"d late",IF(TODAY()=$H146,"Due today","in "&amp;($H146-TODAY())&amp;"d"))))</f>
        <v/>
      </c>
      <c r="J146" s="32" t="n"/>
      <c r="K146" s="32" t="n"/>
    </row>
    <row r="147" ht="18" customHeight="1">
      <c r="A147" s="32" t="n"/>
      <c r="B147" s="32" t="n"/>
      <c r="C147" s="32" t="n"/>
      <c r="D147" s="32" t="n"/>
      <c r="E147" s="32" t="n"/>
      <c r="F147" s="32" t="n"/>
      <c r="G147" s="33" t="n"/>
      <c r="H147" s="35">
        <f>IF($G147="","",$G147+4)</f>
        <v/>
      </c>
      <c r="I147" s="36">
        <f>IF($G147="","",IF(OR($F147="Closed",$F147="Spoke"),"-",IF(TODAY()&gt;$H147,"Due, "&amp;(TODAY()-$H147)&amp;"d late",IF(TODAY()=$H147,"Due today","in "&amp;($H147-TODAY())&amp;"d"))))</f>
        <v/>
      </c>
      <c r="J147" s="32" t="n"/>
      <c r="K147" s="32" t="n"/>
    </row>
    <row r="148" ht="18" customHeight="1">
      <c r="A148" s="32" t="n"/>
      <c r="B148" s="32" t="n"/>
      <c r="C148" s="32" t="n"/>
      <c r="D148" s="32" t="n"/>
      <c r="E148" s="32" t="n"/>
      <c r="F148" s="32" t="n"/>
      <c r="G148" s="33" t="n"/>
      <c r="H148" s="35">
        <f>IF($G148="","",$G148+4)</f>
        <v/>
      </c>
      <c r="I148" s="36">
        <f>IF($G148="","",IF(OR($F148="Closed",$F148="Spoke"),"-",IF(TODAY()&gt;$H148,"Due, "&amp;(TODAY()-$H148)&amp;"d late",IF(TODAY()=$H148,"Due today","in "&amp;($H148-TODAY())&amp;"d"))))</f>
        <v/>
      </c>
      <c r="J148" s="32" t="n"/>
      <c r="K148" s="32" t="n"/>
    </row>
    <row r="149" ht="18" customHeight="1">
      <c r="A149" s="32" t="n"/>
      <c r="B149" s="32" t="n"/>
      <c r="C149" s="32" t="n"/>
      <c r="D149" s="32" t="n"/>
      <c r="E149" s="32" t="n"/>
      <c r="F149" s="32" t="n"/>
      <c r="G149" s="33" t="n"/>
      <c r="H149" s="35">
        <f>IF($G149="","",$G149+4)</f>
        <v/>
      </c>
      <c r="I149" s="36">
        <f>IF($G149="","",IF(OR($F149="Closed",$F149="Spoke"),"-",IF(TODAY()&gt;$H149,"Due, "&amp;(TODAY()-$H149)&amp;"d late",IF(TODAY()=$H149,"Due today","in "&amp;($H149-TODAY())&amp;"d"))))</f>
        <v/>
      </c>
      <c r="J149" s="32" t="n"/>
      <c r="K149" s="32" t="n"/>
    </row>
    <row r="150" ht="18" customHeight="1">
      <c r="A150" s="32" t="n"/>
      <c r="B150" s="32" t="n"/>
      <c r="C150" s="32" t="n"/>
      <c r="D150" s="32" t="n"/>
      <c r="E150" s="32" t="n"/>
      <c r="F150" s="32" t="n"/>
      <c r="G150" s="33" t="n"/>
      <c r="H150" s="35">
        <f>IF($G150="","",$G150+4)</f>
        <v/>
      </c>
      <c r="I150" s="36">
        <f>IF($G150="","",IF(OR($F150="Closed",$F150="Spoke"),"-",IF(TODAY()&gt;$H150,"Due, "&amp;(TODAY()-$H150)&amp;"d late",IF(TODAY()=$H150,"Due today","in "&amp;($H150-TODAY())&amp;"d"))))</f>
        <v/>
      </c>
      <c r="J150" s="32" t="n"/>
      <c r="K150" s="32" t="n"/>
    </row>
    <row r="151" ht="18" customHeight="1">
      <c r="A151" s="32" t="n"/>
      <c r="B151" s="32" t="n"/>
      <c r="C151" s="32" t="n"/>
      <c r="D151" s="32" t="n"/>
      <c r="E151" s="32" t="n"/>
      <c r="F151" s="32" t="n"/>
      <c r="G151" s="33" t="n"/>
      <c r="H151" s="35">
        <f>IF($G151="","",$G151+4)</f>
        <v/>
      </c>
      <c r="I151" s="36">
        <f>IF($G151="","",IF(OR($F151="Closed",$F151="Spoke"),"-",IF(TODAY()&gt;$H151,"Due, "&amp;(TODAY()-$H151)&amp;"d late",IF(TODAY()=$H151,"Due today","in "&amp;($H151-TODAY())&amp;"d"))))</f>
        <v/>
      </c>
      <c r="J151" s="32" t="n"/>
      <c r="K151" s="32" t="n"/>
    </row>
    <row r="152" ht="18" customHeight="1">
      <c r="A152" s="32" t="n"/>
      <c r="B152" s="32" t="n"/>
      <c r="C152" s="32" t="n"/>
      <c r="D152" s="32" t="n"/>
      <c r="E152" s="32" t="n"/>
      <c r="F152" s="32" t="n"/>
      <c r="G152" s="33" t="n"/>
      <c r="H152" s="35">
        <f>IF($G152="","",$G152+4)</f>
        <v/>
      </c>
      <c r="I152" s="36">
        <f>IF($G152="","",IF(OR($F152="Closed",$F152="Spoke"),"-",IF(TODAY()&gt;$H152,"Due, "&amp;(TODAY()-$H152)&amp;"d late",IF(TODAY()=$H152,"Due today","in "&amp;($H152-TODAY())&amp;"d"))))</f>
        <v/>
      </c>
      <c r="J152" s="32" t="n"/>
      <c r="K152" s="32" t="n"/>
    </row>
    <row r="153" ht="18" customHeight="1">
      <c r="A153" s="32" t="n"/>
      <c r="B153" s="32" t="n"/>
      <c r="C153" s="32" t="n"/>
      <c r="D153" s="32" t="n"/>
      <c r="E153" s="32" t="n"/>
      <c r="F153" s="32" t="n"/>
      <c r="G153" s="33" t="n"/>
      <c r="H153" s="35">
        <f>IF($G153="","",$G153+4)</f>
        <v/>
      </c>
      <c r="I153" s="36">
        <f>IF($G153="","",IF(OR($F153="Closed",$F153="Spoke"),"-",IF(TODAY()&gt;$H153,"Due, "&amp;(TODAY()-$H153)&amp;"d late",IF(TODAY()=$H153,"Due today","in "&amp;($H153-TODAY())&amp;"d"))))</f>
        <v/>
      </c>
      <c r="J153" s="32" t="n"/>
      <c r="K153" s="32" t="n"/>
    </row>
    <row r="154" ht="18" customHeight="1">
      <c r="A154" s="32" t="n"/>
      <c r="B154" s="32" t="n"/>
      <c r="C154" s="32" t="n"/>
      <c r="D154" s="32" t="n"/>
      <c r="E154" s="32" t="n"/>
      <c r="F154" s="32" t="n"/>
      <c r="G154" s="33" t="n"/>
      <c r="H154" s="35">
        <f>IF($G154="","",$G154+4)</f>
        <v/>
      </c>
      <c r="I154" s="36">
        <f>IF($G154="","",IF(OR($F154="Closed",$F154="Spoke"),"-",IF(TODAY()&gt;$H154,"Due, "&amp;(TODAY()-$H154)&amp;"d late",IF(TODAY()=$H154,"Due today","in "&amp;($H154-TODAY())&amp;"d"))))</f>
        <v/>
      </c>
      <c r="J154" s="32" t="n"/>
      <c r="K154" s="32" t="n"/>
    </row>
    <row r="155" ht="18" customHeight="1">
      <c r="A155" s="32" t="n"/>
      <c r="B155" s="32" t="n"/>
      <c r="C155" s="32" t="n"/>
      <c r="D155" s="32" t="n"/>
      <c r="E155" s="32" t="n"/>
      <c r="F155" s="32" t="n"/>
      <c r="G155" s="33" t="n"/>
      <c r="H155" s="35">
        <f>IF($G155="","",$G155+4)</f>
        <v/>
      </c>
      <c r="I155" s="36">
        <f>IF($G155="","",IF(OR($F155="Closed",$F155="Spoke"),"-",IF(TODAY()&gt;$H155,"Due, "&amp;(TODAY()-$H155)&amp;"d late",IF(TODAY()=$H155,"Due today","in "&amp;($H155-TODAY())&amp;"d"))))</f>
        <v/>
      </c>
      <c r="J155" s="32" t="n"/>
      <c r="K155" s="32" t="n"/>
    </row>
    <row r="156" ht="18" customHeight="1">
      <c r="A156" s="32" t="n"/>
      <c r="B156" s="32" t="n"/>
      <c r="C156" s="32" t="n"/>
      <c r="D156" s="32" t="n"/>
      <c r="E156" s="32" t="n"/>
      <c r="F156" s="32" t="n"/>
      <c r="G156" s="33" t="n"/>
      <c r="H156" s="35">
        <f>IF($G156="","",$G156+4)</f>
        <v/>
      </c>
      <c r="I156" s="36">
        <f>IF($G156="","",IF(OR($F156="Closed",$F156="Spoke"),"-",IF(TODAY()&gt;$H156,"Due, "&amp;(TODAY()-$H156)&amp;"d late",IF(TODAY()=$H156,"Due today","in "&amp;($H156-TODAY())&amp;"d"))))</f>
        <v/>
      </c>
      <c r="J156" s="32" t="n"/>
      <c r="K156" s="32" t="n"/>
    </row>
    <row r="157" ht="18" customHeight="1">
      <c r="A157" s="32" t="n"/>
      <c r="B157" s="32" t="n"/>
      <c r="C157" s="32" t="n"/>
      <c r="D157" s="32" t="n"/>
      <c r="E157" s="32" t="n"/>
      <c r="F157" s="32" t="n"/>
      <c r="G157" s="33" t="n"/>
      <c r="H157" s="35">
        <f>IF($G157="","",$G157+4)</f>
        <v/>
      </c>
      <c r="I157" s="36">
        <f>IF($G157="","",IF(OR($F157="Closed",$F157="Spoke"),"-",IF(TODAY()&gt;$H157,"Due, "&amp;(TODAY()-$H157)&amp;"d late",IF(TODAY()=$H157,"Due today","in "&amp;($H157-TODAY())&amp;"d"))))</f>
        <v/>
      </c>
      <c r="J157" s="32" t="n"/>
      <c r="K157" s="32" t="n"/>
    </row>
    <row r="158" ht="18" customHeight="1">
      <c r="A158" s="32" t="n"/>
      <c r="B158" s="32" t="n"/>
      <c r="C158" s="32" t="n"/>
      <c r="D158" s="32" t="n"/>
      <c r="E158" s="32" t="n"/>
      <c r="F158" s="32" t="n"/>
      <c r="G158" s="33" t="n"/>
      <c r="H158" s="35">
        <f>IF($G158="","",$G158+4)</f>
        <v/>
      </c>
      <c r="I158" s="36">
        <f>IF($G158="","",IF(OR($F158="Closed",$F158="Spoke"),"-",IF(TODAY()&gt;$H158,"Due, "&amp;(TODAY()-$H158)&amp;"d late",IF(TODAY()=$H158,"Due today","in "&amp;($H158-TODAY())&amp;"d"))))</f>
        <v/>
      </c>
      <c r="J158" s="32" t="n"/>
      <c r="K158" s="32" t="n"/>
    </row>
    <row r="159" ht="18" customHeight="1">
      <c r="A159" s="32" t="n"/>
      <c r="B159" s="32" t="n"/>
      <c r="C159" s="32" t="n"/>
      <c r="D159" s="32" t="n"/>
      <c r="E159" s="32" t="n"/>
      <c r="F159" s="32" t="n"/>
      <c r="G159" s="33" t="n"/>
      <c r="H159" s="35">
        <f>IF($G159="","",$G159+4)</f>
        <v/>
      </c>
      <c r="I159" s="36">
        <f>IF($G159="","",IF(OR($F159="Closed",$F159="Spoke"),"-",IF(TODAY()&gt;$H159,"Due, "&amp;(TODAY()-$H159)&amp;"d late",IF(TODAY()=$H159,"Due today","in "&amp;($H159-TODAY())&amp;"d"))))</f>
        <v/>
      </c>
      <c r="J159" s="32" t="n"/>
      <c r="K159" s="32" t="n"/>
    </row>
    <row r="160" ht="18" customHeight="1">
      <c r="A160" s="32" t="n"/>
      <c r="B160" s="32" t="n"/>
      <c r="C160" s="32" t="n"/>
      <c r="D160" s="32" t="n"/>
      <c r="E160" s="32" t="n"/>
      <c r="F160" s="32" t="n"/>
      <c r="G160" s="33" t="n"/>
      <c r="H160" s="35">
        <f>IF($G160="","",$G160+4)</f>
        <v/>
      </c>
      <c r="I160" s="36">
        <f>IF($G160="","",IF(OR($F160="Closed",$F160="Spoke"),"-",IF(TODAY()&gt;$H160,"Due, "&amp;(TODAY()-$H160)&amp;"d late",IF(TODAY()=$H160,"Due today","in "&amp;($H160-TODAY())&amp;"d"))))</f>
        <v/>
      </c>
      <c r="J160" s="32" t="n"/>
      <c r="K160" s="32" t="n"/>
    </row>
    <row r="161" ht="18" customHeight="1">
      <c r="A161" s="32" t="n"/>
      <c r="B161" s="32" t="n"/>
      <c r="C161" s="32" t="n"/>
      <c r="D161" s="32" t="n"/>
      <c r="E161" s="32" t="n"/>
      <c r="F161" s="32" t="n"/>
      <c r="G161" s="33" t="n"/>
      <c r="H161" s="35">
        <f>IF($G161="","",$G161+4)</f>
        <v/>
      </c>
      <c r="I161" s="36">
        <f>IF($G161="","",IF(OR($F161="Closed",$F161="Spoke"),"-",IF(TODAY()&gt;$H161,"Due, "&amp;(TODAY()-$H161)&amp;"d late",IF(TODAY()=$H161,"Due today","in "&amp;($H161-TODAY())&amp;"d"))))</f>
        <v/>
      </c>
      <c r="J161" s="32" t="n"/>
      <c r="K161" s="32" t="n"/>
    </row>
    <row r="162" ht="18" customHeight="1">
      <c r="A162" s="32" t="n"/>
      <c r="B162" s="32" t="n"/>
      <c r="C162" s="32" t="n"/>
      <c r="D162" s="32" t="n"/>
      <c r="E162" s="32" t="n"/>
      <c r="F162" s="32" t="n"/>
      <c r="G162" s="33" t="n"/>
      <c r="H162" s="35">
        <f>IF($G162="","",$G162+4)</f>
        <v/>
      </c>
      <c r="I162" s="36">
        <f>IF($G162="","",IF(OR($F162="Closed",$F162="Spoke"),"-",IF(TODAY()&gt;$H162,"Due, "&amp;(TODAY()-$H162)&amp;"d late",IF(TODAY()=$H162,"Due today","in "&amp;($H162-TODAY())&amp;"d"))))</f>
        <v/>
      </c>
      <c r="J162" s="32" t="n"/>
      <c r="K162" s="32" t="n"/>
    </row>
    <row r="163" ht="18" customHeight="1">
      <c r="A163" s="32" t="n"/>
      <c r="B163" s="32" t="n"/>
      <c r="C163" s="32" t="n"/>
      <c r="D163" s="32" t="n"/>
      <c r="E163" s="32" t="n"/>
      <c r="F163" s="32" t="n"/>
      <c r="G163" s="33" t="n"/>
      <c r="H163" s="35">
        <f>IF($G163="","",$G163+4)</f>
        <v/>
      </c>
      <c r="I163" s="36">
        <f>IF($G163="","",IF(OR($F163="Closed",$F163="Spoke"),"-",IF(TODAY()&gt;$H163,"Due, "&amp;(TODAY()-$H163)&amp;"d late",IF(TODAY()=$H163,"Due today","in "&amp;($H163-TODAY())&amp;"d"))))</f>
        <v/>
      </c>
      <c r="J163" s="32" t="n"/>
      <c r="K163" s="32" t="n"/>
    </row>
    <row r="164" ht="18" customHeight="1">
      <c r="A164" s="32" t="n"/>
      <c r="B164" s="32" t="n"/>
      <c r="C164" s="32" t="n"/>
      <c r="D164" s="32" t="n"/>
      <c r="E164" s="32" t="n"/>
      <c r="F164" s="32" t="n"/>
      <c r="G164" s="33" t="n"/>
      <c r="H164" s="35">
        <f>IF($G164="","",$G164+4)</f>
        <v/>
      </c>
      <c r="I164" s="36">
        <f>IF($G164="","",IF(OR($F164="Closed",$F164="Spoke"),"-",IF(TODAY()&gt;$H164,"Due, "&amp;(TODAY()-$H164)&amp;"d late",IF(TODAY()=$H164,"Due today","in "&amp;($H164-TODAY())&amp;"d"))))</f>
        <v/>
      </c>
      <c r="J164" s="32" t="n"/>
      <c r="K164" s="32" t="n"/>
    </row>
    <row r="165" ht="18" customHeight="1">
      <c r="A165" s="32" t="n"/>
      <c r="B165" s="32" t="n"/>
      <c r="C165" s="32" t="n"/>
      <c r="D165" s="32" t="n"/>
      <c r="E165" s="32" t="n"/>
      <c r="F165" s="32" t="n"/>
      <c r="G165" s="33" t="n"/>
      <c r="H165" s="35">
        <f>IF($G165="","",$G165+4)</f>
        <v/>
      </c>
      <c r="I165" s="36">
        <f>IF($G165="","",IF(OR($F165="Closed",$F165="Spoke"),"-",IF(TODAY()&gt;$H165,"Due, "&amp;(TODAY()-$H165)&amp;"d late",IF(TODAY()=$H165,"Due today","in "&amp;($H165-TODAY())&amp;"d"))))</f>
        <v/>
      </c>
      <c r="J165" s="32" t="n"/>
      <c r="K165" s="32" t="n"/>
    </row>
    <row r="166" ht="18" customHeight="1">
      <c r="A166" s="32" t="n"/>
      <c r="B166" s="32" t="n"/>
      <c r="C166" s="32" t="n"/>
      <c r="D166" s="32" t="n"/>
      <c r="E166" s="32" t="n"/>
      <c r="F166" s="32" t="n"/>
      <c r="G166" s="33" t="n"/>
      <c r="H166" s="35">
        <f>IF($G166="","",$G166+4)</f>
        <v/>
      </c>
      <c r="I166" s="36">
        <f>IF($G166="","",IF(OR($F166="Closed",$F166="Spoke"),"-",IF(TODAY()&gt;$H166,"Due, "&amp;(TODAY()-$H166)&amp;"d late",IF(TODAY()=$H166,"Due today","in "&amp;($H166-TODAY())&amp;"d"))))</f>
        <v/>
      </c>
      <c r="J166" s="32" t="n"/>
      <c r="K166" s="32" t="n"/>
    </row>
    <row r="167" ht="18" customHeight="1">
      <c r="A167" s="32" t="n"/>
      <c r="B167" s="32" t="n"/>
      <c r="C167" s="32" t="n"/>
      <c r="D167" s="32" t="n"/>
      <c r="E167" s="32" t="n"/>
      <c r="F167" s="32" t="n"/>
      <c r="G167" s="33" t="n"/>
      <c r="H167" s="35">
        <f>IF($G167="","",$G167+4)</f>
        <v/>
      </c>
      <c r="I167" s="36">
        <f>IF($G167="","",IF(OR($F167="Closed",$F167="Spoke"),"-",IF(TODAY()&gt;$H167,"Due, "&amp;(TODAY()-$H167)&amp;"d late",IF(TODAY()=$H167,"Due today","in "&amp;($H167-TODAY())&amp;"d"))))</f>
        <v/>
      </c>
      <c r="J167" s="32" t="n"/>
      <c r="K167" s="32" t="n"/>
    </row>
    <row r="168" ht="18" customHeight="1">
      <c r="A168" s="32" t="n"/>
      <c r="B168" s="32" t="n"/>
      <c r="C168" s="32" t="n"/>
      <c r="D168" s="32" t="n"/>
      <c r="E168" s="32" t="n"/>
      <c r="F168" s="32" t="n"/>
      <c r="G168" s="33" t="n"/>
      <c r="H168" s="35">
        <f>IF($G168="","",$G168+4)</f>
        <v/>
      </c>
      <c r="I168" s="36">
        <f>IF($G168="","",IF(OR($F168="Closed",$F168="Spoke"),"-",IF(TODAY()&gt;$H168,"Due, "&amp;(TODAY()-$H168)&amp;"d late",IF(TODAY()=$H168,"Due today","in "&amp;($H168-TODAY())&amp;"d"))))</f>
        <v/>
      </c>
      <c r="J168" s="32" t="n"/>
      <c r="K168" s="32" t="n"/>
    </row>
    <row r="169" ht="18" customHeight="1">
      <c r="A169" s="32" t="n"/>
      <c r="B169" s="32" t="n"/>
      <c r="C169" s="32" t="n"/>
      <c r="D169" s="32" t="n"/>
      <c r="E169" s="32" t="n"/>
      <c r="F169" s="32" t="n"/>
      <c r="G169" s="33" t="n"/>
      <c r="H169" s="35">
        <f>IF($G169="","",$G169+4)</f>
        <v/>
      </c>
      <c r="I169" s="36">
        <f>IF($G169="","",IF(OR($F169="Closed",$F169="Spoke"),"-",IF(TODAY()&gt;$H169,"Due, "&amp;(TODAY()-$H169)&amp;"d late",IF(TODAY()=$H169,"Due today","in "&amp;($H169-TODAY())&amp;"d"))))</f>
        <v/>
      </c>
      <c r="J169" s="32" t="n"/>
      <c r="K169" s="32" t="n"/>
    </row>
    <row r="170" ht="18" customHeight="1">
      <c r="A170" s="32" t="n"/>
      <c r="B170" s="32" t="n"/>
      <c r="C170" s="32" t="n"/>
      <c r="D170" s="32" t="n"/>
      <c r="E170" s="32" t="n"/>
      <c r="F170" s="32" t="n"/>
      <c r="G170" s="33" t="n"/>
      <c r="H170" s="35">
        <f>IF($G170="","",$G170+4)</f>
        <v/>
      </c>
      <c r="I170" s="36">
        <f>IF($G170="","",IF(OR($F170="Closed",$F170="Spoke"),"-",IF(TODAY()&gt;$H170,"Due, "&amp;(TODAY()-$H170)&amp;"d late",IF(TODAY()=$H170,"Due today","in "&amp;($H170-TODAY())&amp;"d"))))</f>
        <v/>
      </c>
      <c r="J170" s="32" t="n"/>
      <c r="K170" s="32" t="n"/>
    </row>
    <row r="171" ht="18" customHeight="1">
      <c r="A171" s="32" t="n"/>
      <c r="B171" s="32" t="n"/>
      <c r="C171" s="32" t="n"/>
      <c r="D171" s="32" t="n"/>
      <c r="E171" s="32" t="n"/>
      <c r="F171" s="32" t="n"/>
      <c r="G171" s="33" t="n"/>
      <c r="H171" s="35">
        <f>IF($G171="","",$G171+4)</f>
        <v/>
      </c>
      <c r="I171" s="36">
        <f>IF($G171="","",IF(OR($F171="Closed",$F171="Spoke"),"-",IF(TODAY()&gt;$H171,"Due, "&amp;(TODAY()-$H171)&amp;"d late",IF(TODAY()=$H171,"Due today","in "&amp;($H171-TODAY())&amp;"d"))))</f>
        <v/>
      </c>
      <c r="J171" s="32" t="n"/>
      <c r="K171" s="32" t="n"/>
    </row>
    <row r="172" ht="18" customHeight="1">
      <c r="A172" s="32" t="n"/>
      <c r="B172" s="32" t="n"/>
      <c r="C172" s="32" t="n"/>
      <c r="D172" s="32" t="n"/>
      <c r="E172" s="32" t="n"/>
      <c r="F172" s="32" t="n"/>
      <c r="G172" s="33" t="n"/>
      <c r="H172" s="35">
        <f>IF($G172="","",$G172+4)</f>
        <v/>
      </c>
      <c r="I172" s="36">
        <f>IF($G172="","",IF(OR($F172="Closed",$F172="Spoke"),"-",IF(TODAY()&gt;$H172,"Due, "&amp;(TODAY()-$H172)&amp;"d late",IF(TODAY()=$H172,"Due today","in "&amp;($H172-TODAY())&amp;"d"))))</f>
        <v/>
      </c>
      <c r="J172" s="32" t="n"/>
      <c r="K172" s="32" t="n"/>
    </row>
    <row r="173" ht="18" customHeight="1">
      <c r="A173" s="32" t="n"/>
      <c r="B173" s="32" t="n"/>
      <c r="C173" s="32" t="n"/>
      <c r="D173" s="32" t="n"/>
      <c r="E173" s="32" t="n"/>
      <c r="F173" s="32" t="n"/>
      <c r="G173" s="33" t="n"/>
      <c r="H173" s="35">
        <f>IF($G173="","",$G173+4)</f>
        <v/>
      </c>
      <c r="I173" s="36">
        <f>IF($G173="","",IF(OR($F173="Closed",$F173="Spoke"),"-",IF(TODAY()&gt;$H173,"Due, "&amp;(TODAY()-$H173)&amp;"d late",IF(TODAY()=$H173,"Due today","in "&amp;($H173-TODAY())&amp;"d"))))</f>
        <v/>
      </c>
      <c r="J173" s="32" t="n"/>
      <c r="K173" s="32" t="n"/>
    </row>
    <row r="174" ht="18" customHeight="1">
      <c r="A174" s="32" t="n"/>
      <c r="B174" s="32" t="n"/>
      <c r="C174" s="32" t="n"/>
      <c r="D174" s="32" t="n"/>
      <c r="E174" s="32" t="n"/>
      <c r="F174" s="32" t="n"/>
      <c r="G174" s="33" t="n"/>
      <c r="H174" s="35">
        <f>IF($G174="","",$G174+4)</f>
        <v/>
      </c>
      <c r="I174" s="36">
        <f>IF($G174="","",IF(OR($F174="Closed",$F174="Spoke"),"-",IF(TODAY()&gt;$H174,"Due, "&amp;(TODAY()-$H174)&amp;"d late",IF(TODAY()=$H174,"Due today","in "&amp;($H174-TODAY())&amp;"d"))))</f>
        <v/>
      </c>
      <c r="J174" s="32" t="n"/>
      <c r="K174" s="32" t="n"/>
    </row>
    <row r="175" ht="18" customHeight="1">
      <c r="A175" s="32" t="n"/>
      <c r="B175" s="32" t="n"/>
      <c r="C175" s="32" t="n"/>
      <c r="D175" s="32" t="n"/>
      <c r="E175" s="32" t="n"/>
      <c r="F175" s="32" t="n"/>
      <c r="G175" s="33" t="n"/>
      <c r="H175" s="35">
        <f>IF($G175="","",$G175+4)</f>
        <v/>
      </c>
      <c r="I175" s="36">
        <f>IF($G175="","",IF(OR($F175="Closed",$F175="Spoke"),"-",IF(TODAY()&gt;$H175,"Due, "&amp;(TODAY()-$H175)&amp;"d late",IF(TODAY()=$H175,"Due today","in "&amp;($H175-TODAY())&amp;"d"))))</f>
        <v/>
      </c>
      <c r="J175" s="32" t="n"/>
      <c r="K175" s="32" t="n"/>
    </row>
    <row r="176" ht="18" customHeight="1">
      <c r="A176" s="32" t="n"/>
      <c r="B176" s="32" t="n"/>
      <c r="C176" s="32" t="n"/>
      <c r="D176" s="32" t="n"/>
      <c r="E176" s="32" t="n"/>
      <c r="F176" s="32" t="n"/>
      <c r="G176" s="33" t="n"/>
      <c r="H176" s="35">
        <f>IF($G176="","",$G176+4)</f>
        <v/>
      </c>
      <c r="I176" s="36">
        <f>IF($G176="","",IF(OR($F176="Closed",$F176="Spoke"),"-",IF(TODAY()&gt;$H176,"Due, "&amp;(TODAY()-$H176)&amp;"d late",IF(TODAY()=$H176,"Due today","in "&amp;($H176-TODAY())&amp;"d"))))</f>
        <v/>
      </c>
      <c r="J176" s="32" t="n"/>
      <c r="K176" s="32" t="n"/>
    </row>
    <row r="177" ht="18" customHeight="1">
      <c r="A177" s="32" t="n"/>
      <c r="B177" s="32" t="n"/>
      <c r="C177" s="32" t="n"/>
      <c r="D177" s="32" t="n"/>
      <c r="E177" s="32" t="n"/>
      <c r="F177" s="32" t="n"/>
      <c r="G177" s="33" t="n"/>
      <c r="H177" s="35">
        <f>IF($G177="","",$G177+4)</f>
        <v/>
      </c>
      <c r="I177" s="36">
        <f>IF($G177="","",IF(OR($F177="Closed",$F177="Spoke"),"-",IF(TODAY()&gt;$H177,"Due, "&amp;(TODAY()-$H177)&amp;"d late",IF(TODAY()=$H177,"Due today","in "&amp;($H177-TODAY())&amp;"d"))))</f>
        <v/>
      </c>
      <c r="J177" s="32" t="n"/>
      <c r="K177" s="32" t="n"/>
    </row>
    <row r="178" ht="18" customHeight="1">
      <c r="A178" s="32" t="n"/>
      <c r="B178" s="32" t="n"/>
      <c r="C178" s="32" t="n"/>
      <c r="D178" s="32" t="n"/>
      <c r="E178" s="32" t="n"/>
      <c r="F178" s="32" t="n"/>
      <c r="G178" s="33" t="n"/>
      <c r="H178" s="35">
        <f>IF($G178="","",$G178+4)</f>
        <v/>
      </c>
      <c r="I178" s="36">
        <f>IF($G178="","",IF(OR($F178="Closed",$F178="Spoke"),"-",IF(TODAY()&gt;$H178,"Due, "&amp;(TODAY()-$H178)&amp;"d late",IF(TODAY()=$H178,"Due today","in "&amp;($H178-TODAY())&amp;"d"))))</f>
        <v/>
      </c>
      <c r="J178" s="32" t="n"/>
      <c r="K178" s="32" t="n"/>
    </row>
    <row r="179" ht="18" customHeight="1">
      <c r="A179" s="32" t="n"/>
      <c r="B179" s="32" t="n"/>
      <c r="C179" s="32" t="n"/>
      <c r="D179" s="32" t="n"/>
      <c r="E179" s="32" t="n"/>
      <c r="F179" s="32" t="n"/>
      <c r="G179" s="33" t="n"/>
      <c r="H179" s="35">
        <f>IF($G179="","",$G179+4)</f>
        <v/>
      </c>
      <c r="I179" s="36">
        <f>IF($G179="","",IF(OR($F179="Closed",$F179="Spoke"),"-",IF(TODAY()&gt;$H179,"Due, "&amp;(TODAY()-$H179)&amp;"d late",IF(TODAY()=$H179,"Due today","in "&amp;($H179-TODAY())&amp;"d"))))</f>
        <v/>
      </c>
      <c r="J179" s="32" t="n"/>
      <c r="K179" s="32" t="n"/>
    </row>
    <row r="180" ht="18" customHeight="1">
      <c r="A180" s="32" t="n"/>
      <c r="B180" s="32" t="n"/>
      <c r="C180" s="32" t="n"/>
      <c r="D180" s="32" t="n"/>
      <c r="E180" s="32" t="n"/>
      <c r="F180" s="32" t="n"/>
      <c r="G180" s="33" t="n"/>
      <c r="H180" s="35">
        <f>IF($G180="","",$G180+4)</f>
        <v/>
      </c>
      <c r="I180" s="36">
        <f>IF($G180="","",IF(OR($F180="Closed",$F180="Spoke"),"-",IF(TODAY()&gt;$H180,"Due, "&amp;(TODAY()-$H180)&amp;"d late",IF(TODAY()=$H180,"Due today","in "&amp;($H180-TODAY())&amp;"d"))))</f>
        <v/>
      </c>
      <c r="J180" s="32" t="n"/>
      <c r="K180" s="32" t="n"/>
    </row>
    <row r="181" ht="18" customHeight="1">
      <c r="A181" s="32" t="n"/>
      <c r="B181" s="32" t="n"/>
      <c r="C181" s="32" t="n"/>
      <c r="D181" s="32" t="n"/>
      <c r="E181" s="32" t="n"/>
      <c r="F181" s="32" t="n"/>
      <c r="G181" s="33" t="n"/>
      <c r="H181" s="35">
        <f>IF($G181="","",$G181+4)</f>
        <v/>
      </c>
      <c r="I181" s="36">
        <f>IF($G181="","",IF(OR($F181="Closed",$F181="Spoke"),"-",IF(TODAY()&gt;$H181,"Due, "&amp;(TODAY()-$H181)&amp;"d late",IF(TODAY()=$H181,"Due today","in "&amp;($H181-TODAY())&amp;"d"))))</f>
        <v/>
      </c>
      <c r="J181" s="32" t="n"/>
      <c r="K181" s="32" t="n"/>
    </row>
    <row r="182" ht="18" customHeight="1">
      <c r="A182" s="32" t="n"/>
      <c r="B182" s="32" t="n"/>
      <c r="C182" s="32" t="n"/>
      <c r="D182" s="32" t="n"/>
      <c r="E182" s="32" t="n"/>
      <c r="F182" s="32" t="n"/>
      <c r="G182" s="33" t="n"/>
      <c r="H182" s="35">
        <f>IF($G182="","",$G182+4)</f>
        <v/>
      </c>
      <c r="I182" s="36">
        <f>IF($G182="","",IF(OR($F182="Closed",$F182="Spoke"),"-",IF(TODAY()&gt;$H182,"Due, "&amp;(TODAY()-$H182)&amp;"d late",IF(TODAY()=$H182,"Due today","in "&amp;($H182-TODAY())&amp;"d"))))</f>
        <v/>
      </c>
      <c r="J182" s="32" t="n"/>
      <c r="K182" s="32" t="n"/>
    </row>
    <row r="183" ht="18" customHeight="1">
      <c r="A183" s="32" t="n"/>
      <c r="B183" s="32" t="n"/>
      <c r="C183" s="32" t="n"/>
      <c r="D183" s="32" t="n"/>
      <c r="E183" s="32" t="n"/>
      <c r="F183" s="32" t="n"/>
      <c r="G183" s="33" t="n"/>
      <c r="H183" s="35">
        <f>IF($G183="","",$G183+4)</f>
        <v/>
      </c>
      <c r="I183" s="36">
        <f>IF($G183="","",IF(OR($F183="Closed",$F183="Spoke"),"-",IF(TODAY()&gt;$H183,"Due, "&amp;(TODAY()-$H183)&amp;"d late",IF(TODAY()=$H183,"Due today","in "&amp;($H183-TODAY())&amp;"d"))))</f>
        <v/>
      </c>
      <c r="J183" s="32" t="n"/>
      <c r="K183" s="32" t="n"/>
    </row>
    <row r="184" ht="18" customHeight="1">
      <c r="A184" s="32" t="n"/>
      <c r="B184" s="32" t="n"/>
      <c r="C184" s="32" t="n"/>
      <c r="D184" s="32" t="n"/>
      <c r="E184" s="32" t="n"/>
      <c r="F184" s="32" t="n"/>
      <c r="G184" s="33" t="n"/>
      <c r="H184" s="35">
        <f>IF($G184="","",$G184+4)</f>
        <v/>
      </c>
      <c r="I184" s="36">
        <f>IF($G184="","",IF(OR($F184="Closed",$F184="Spoke"),"-",IF(TODAY()&gt;$H184,"Due, "&amp;(TODAY()-$H184)&amp;"d late",IF(TODAY()=$H184,"Due today","in "&amp;($H184-TODAY())&amp;"d"))))</f>
        <v/>
      </c>
      <c r="J184" s="32" t="n"/>
      <c r="K184" s="32" t="n"/>
    </row>
    <row r="185" ht="18" customHeight="1">
      <c r="A185" s="32" t="n"/>
      <c r="B185" s="32" t="n"/>
      <c r="C185" s="32" t="n"/>
      <c r="D185" s="32" t="n"/>
      <c r="E185" s="32" t="n"/>
      <c r="F185" s="32" t="n"/>
      <c r="G185" s="33" t="n"/>
      <c r="H185" s="35">
        <f>IF($G185="","",$G185+4)</f>
        <v/>
      </c>
      <c r="I185" s="36">
        <f>IF($G185="","",IF(OR($F185="Closed",$F185="Spoke"),"-",IF(TODAY()&gt;$H185,"Due, "&amp;(TODAY()-$H185)&amp;"d late",IF(TODAY()=$H185,"Due today","in "&amp;($H185-TODAY())&amp;"d"))))</f>
        <v/>
      </c>
      <c r="J185" s="32" t="n"/>
      <c r="K185" s="32" t="n"/>
    </row>
    <row r="186" ht="18" customHeight="1">
      <c r="A186" s="32" t="n"/>
      <c r="B186" s="32" t="n"/>
      <c r="C186" s="32" t="n"/>
      <c r="D186" s="32" t="n"/>
      <c r="E186" s="32" t="n"/>
      <c r="F186" s="32" t="n"/>
      <c r="G186" s="33" t="n"/>
      <c r="H186" s="35">
        <f>IF($G186="","",$G186+4)</f>
        <v/>
      </c>
      <c r="I186" s="36">
        <f>IF($G186="","",IF(OR($F186="Closed",$F186="Spoke"),"-",IF(TODAY()&gt;$H186,"Due, "&amp;(TODAY()-$H186)&amp;"d late",IF(TODAY()=$H186,"Due today","in "&amp;($H186-TODAY())&amp;"d"))))</f>
        <v/>
      </c>
      <c r="J186" s="32" t="n"/>
      <c r="K186" s="32" t="n"/>
    </row>
    <row r="187" ht="18" customHeight="1">
      <c r="A187" s="32" t="n"/>
      <c r="B187" s="32" t="n"/>
      <c r="C187" s="32" t="n"/>
      <c r="D187" s="32" t="n"/>
      <c r="E187" s="32" t="n"/>
      <c r="F187" s="32" t="n"/>
      <c r="G187" s="33" t="n"/>
      <c r="H187" s="35">
        <f>IF($G187="","",$G187+4)</f>
        <v/>
      </c>
      <c r="I187" s="36">
        <f>IF($G187="","",IF(OR($F187="Closed",$F187="Spoke"),"-",IF(TODAY()&gt;$H187,"Due, "&amp;(TODAY()-$H187)&amp;"d late",IF(TODAY()=$H187,"Due today","in "&amp;($H187-TODAY())&amp;"d"))))</f>
        <v/>
      </c>
      <c r="J187" s="32" t="n"/>
      <c r="K187" s="32" t="n"/>
    </row>
    <row r="188" ht="18" customHeight="1">
      <c r="A188" s="32" t="n"/>
      <c r="B188" s="32" t="n"/>
      <c r="C188" s="32" t="n"/>
      <c r="D188" s="32" t="n"/>
      <c r="E188" s="32" t="n"/>
      <c r="F188" s="32" t="n"/>
      <c r="G188" s="33" t="n"/>
      <c r="H188" s="35">
        <f>IF($G188="","",$G188+4)</f>
        <v/>
      </c>
      <c r="I188" s="36">
        <f>IF($G188="","",IF(OR($F188="Closed",$F188="Spoke"),"-",IF(TODAY()&gt;$H188,"Due, "&amp;(TODAY()-$H188)&amp;"d late",IF(TODAY()=$H188,"Due today","in "&amp;($H188-TODAY())&amp;"d"))))</f>
        <v/>
      </c>
      <c r="J188" s="32" t="n"/>
      <c r="K188" s="32" t="n"/>
    </row>
    <row r="189" ht="18" customHeight="1">
      <c r="A189" s="32" t="n"/>
      <c r="B189" s="32" t="n"/>
      <c r="C189" s="32" t="n"/>
      <c r="D189" s="32" t="n"/>
      <c r="E189" s="32" t="n"/>
      <c r="F189" s="32" t="n"/>
      <c r="G189" s="33" t="n"/>
      <c r="H189" s="35">
        <f>IF($G189="","",$G189+4)</f>
        <v/>
      </c>
      <c r="I189" s="36">
        <f>IF($G189="","",IF(OR($F189="Closed",$F189="Spoke"),"-",IF(TODAY()&gt;$H189,"Due, "&amp;(TODAY()-$H189)&amp;"d late",IF(TODAY()=$H189,"Due today","in "&amp;($H189-TODAY())&amp;"d"))))</f>
        <v/>
      </c>
      <c r="J189" s="32" t="n"/>
      <c r="K189" s="32" t="n"/>
    </row>
    <row r="190" ht="18" customHeight="1">
      <c r="A190" s="32" t="n"/>
      <c r="B190" s="32" t="n"/>
      <c r="C190" s="32" t="n"/>
      <c r="D190" s="32" t="n"/>
      <c r="E190" s="32" t="n"/>
      <c r="F190" s="32" t="n"/>
      <c r="G190" s="33" t="n"/>
      <c r="H190" s="35">
        <f>IF($G190="","",$G190+4)</f>
        <v/>
      </c>
      <c r="I190" s="36">
        <f>IF($G190="","",IF(OR($F190="Closed",$F190="Spoke"),"-",IF(TODAY()&gt;$H190,"Due, "&amp;(TODAY()-$H190)&amp;"d late",IF(TODAY()=$H190,"Due today","in "&amp;($H190-TODAY())&amp;"d"))))</f>
        <v/>
      </c>
      <c r="J190" s="32" t="n"/>
      <c r="K190" s="32" t="n"/>
    </row>
    <row r="191" ht="18" customHeight="1">
      <c r="A191" s="32" t="n"/>
      <c r="B191" s="32" t="n"/>
      <c r="C191" s="32" t="n"/>
      <c r="D191" s="32" t="n"/>
      <c r="E191" s="32" t="n"/>
      <c r="F191" s="32" t="n"/>
      <c r="G191" s="33" t="n"/>
      <c r="H191" s="35">
        <f>IF($G191="","",$G191+4)</f>
        <v/>
      </c>
      <c r="I191" s="36">
        <f>IF($G191="","",IF(OR($F191="Closed",$F191="Spoke"),"-",IF(TODAY()&gt;$H191,"Due, "&amp;(TODAY()-$H191)&amp;"d late",IF(TODAY()=$H191,"Due today","in "&amp;($H191-TODAY())&amp;"d"))))</f>
        <v/>
      </c>
      <c r="J191" s="32" t="n"/>
      <c r="K191" s="32" t="n"/>
    </row>
    <row r="192" ht="18" customHeight="1">
      <c r="A192" s="32" t="n"/>
      <c r="B192" s="32" t="n"/>
      <c r="C192" s="32" t="n"/>
      <c r="D192" s="32" t="n"/>
      <c r="E192" s="32" t="n"/>
      <c r="F192" s="32" t="n"/>
      <c r="G192" s="33" t="n"/>
      <c r="H192" s="35">
        <f>IF($G192="","",$G192+4)</f>
        <v/>
      </c>
      <c r="I192" s="36">
        <f>IF($G192="","",IF(OR($F192="Closed",$F192="Spoke"),"-",IF(TODAY()&gt;$H192,"Due, "&amp;(TODAY()-$H192)&amp;"d late",IF(TODAY()=$H192,"Due today","in "&amp;($H192-TODAY())&amp;"d"))))</f>
        <v/>
      </c>
      <c r="J192" s="32" t="n"/>
      <c r="K192" s="32" t="n"/>
    </row>
    <row r="193" ht="18" customHeight="1">
      <c r="A193" s="32" t="n"/>
      <c r="B193" s="32" t="n"/>
      <c r="C193" s="32" t="n"/>
      <c r="D193" s="32" t="n"/>
      <c r="E193" s="32" t="n"/>
      <c r="F193" s="32" t="n"/>
      <c r="G193" s="33" t="n"/>
      <c r="H193" s="35">
        <f>IF($G193="","",$G193+4)</f>
        <v/>
      </c>
      <c r="I193" s="36">
        <f>IF($G193="","",IF(OR($F193="Closed",$F193="Spoke"),"-",IF(TODAY()&gt;$H193,"Due, "&amp;(TODAY()-$H193)&amp;"d late",IF(TODAY()=$H193,"Due today","in "&amp;($H193-TODAY())&amp;"d"))))</f>
        <v/>
      </c>
      <c r="J193" s="32" t="n"/>
      <c r="K193" s="32" t="n"/>
    </row>
    <row r="194" ht="18" customHeight="1">
      <c r="A194" s="32" t="n"/>
      <c r="B194" s="32" t="n"/>
      <c r="C194" s="32" t="n"/>
      <c r="D194" s="32" t="n"/>
      <c r="E194" s="32" t="n"/>
      <c r="F194" s="32" t="n"/>
      <c r="G194" s="33" t="n"/>
      <c r="H194" s="35">
        <f>IF($G194="","",$G194+4)</f>
        <v/>
      </c>
      <c r="I194" s="36">
        <f>IF($G194="","",IF(OR($F194="Closed",$F194="Spoke"),"-",IF(TODAY()&gt;$H194,"Due, "&amp;(TODAY()-$H194)&amp;"d late",IF(TODAY()=$H194,"Due today","in "&amp;($H194-TODAY())&amp;"d"))))</f>
        <v/>
      </c>
      <c r="J194" s="32" t="n"/>
      <c r="K194" s="32" t="n"/>
    </row>
    <row r="195" ht="18" customHeight="1">
      <c r="A195" s="32" t="n"/>
      <c r="B195" s="32" t="n"/>
      <c r="C195" s="32" t="n"/>
      <c r="D195" s="32" t="n"/>
      <c r="E195" s="32" t="n"/>
      <c r="F195" s="32" t="n"/>
      <c r="G195" s="33" t="n"/>
      <c r="H195" s="35">
        <f>IF($G195="","",$G195+4)</f>
        <v/>
      </c>
      <c r="I195" s="36">
        <f>IF($G195="","",IF(OR($F195="Closed",$F195="Spoke"),"-",IF(TODAY()&gt;$H195,"Due, "&amp;(TODAY()-$H195)&amp;"d late",IF(TODAY()=$H195,"Due today","in "&amp;($H195-TODAY())&amp;"d"))))</f>
        <v/>
      </c>
      <c r="J195" s="32" t="n"/>
      <c r="K195" s="32" t="n"/>
    </row>
    <row r="196" ht="18" customHeight="1">
      <c r="A196" s="32" t="n"/>
      <c r="B196" s="32" t="n"/>
      <c r="C196" s="32" t="n"/>
      <c r="D196" s="32" t="n"/>
      <c r="E196" s="32" t="n"/>
      <c r="F196" s="32" t="n"/>
      <c r="G196" s="33" t="n"/>
      <c r="H196" s="35">
        <f>IF($G196="","",$G196+4)</f>
        <v/>
      </c>
      <c r="I196" s="36">
        <f>IF($G196="","",IF(OR($F196="Closed",$F196="Spoke"),"-",IF(TODAY()&gt;$H196,"Due, "&amp;(TODAY()-$H196)&amp;"d late",IF(TODAY()=$H196,"Due today","in "&amp;($H196-TODAY())&amp;"d"))))</f>
        <v/>
      </c>
      <c r="J196" s="32" t="n"/>
      <c r="K196" s="32" t="n"/>
    </row>
    <row r="197" ht="18" customHeight="1">
      <c r="A197" s="32" t="n"/>
      <c r="B197" s="32" t="n"/>
      <c r="C197" s="32" t="n"/>
      <c r="D197" s="32" t="n"/>
      <c r="E197" s="32" t="n"/>
      <c r="F197" s="32" t="n"/>
      <c r="G197" s="33" t="n"/>
      <c r="H197" s="35">
        <f>IF($G197="","",$G197+4)</f>
        <v/>
      </c>
      <c r="I197" s="36">
        <f>IF($G197="","",IF(OR($F197="Closed",$F197="Spoke"),"-",IF(TODAY()&gt;$H197,"Due, "&amp;(TODAY()-$H197)&amp;"d late",IF(TODAY()=$H197,"Due today","in "&amp;($H197-TODAY())&amp;"d"))))</f>
        <v/>
      </c>
      <c r="J197" s="32" t="n"/>
      <c r="K197" s="32" t="n"/>
    </row>
    <row r="198" ht="18" customHeight="1">
      <c r="A198" s="32" t="n"/>
      <c r="B198" s="32" t="n"/>
      <c r="C198" s="32" t="n"/>
      <c r="D198" s="32" t="n"/>
      <c r="E198" s="32" t="n"/>
      <c r="F198" s="32" t="n"/>
      <c r="G198" s="33" t="n"/>
      <c r="H198" s="35">
        <f>IF($G198="","",$G198+4)</f>
        <v/>
      </c>
      <c r="I198" s="36">
        <f>IF($G198="","",IF(OR($F198="Closed",$F198="Spoke"),"-",IF(TODAY()&gt;$H198,"Due, "&amp;(TODAY()-$H198)&amp;"d late",IF(TODAY()=$H198,"Due today","in "&amp;($H198-TODAY())&amp;"d"))))</f>
        <v/>
      </c>
      <c r="J198" s="32" t="n"/>
      <c r="K198" s="32" t="n"/>
    </row>
    <row r="199" ht="18" customHeight="1">
      <c r="A199" s="32" t="n"/>
      <c r="B199" s="32" t="n"/>
      <c r="C199" s="32" t="n"/>
      <c r="D199" s="32" t="n"/>
      <c r="E199" s="32" t="n"/>
      <c r="F199" s="32" t="n"/>
      <c r="G199" s="33" t="n"/>
      <c r="H199" s="35">
        <f>IF($G199="","",$G199+4)</f>
        <v/>
      </c>
      <c r="I199" s="36">
        <f>IF($G199="","",IF(OR($F199="Closed",$F199="Spoke"),"-",IF(TODAY()&gt;$H199,"Due, "&amp;(TODAY()-$H199)&amp;"d late",IF(TODAY()=$H199,"Due today","in "&amp;($H199-TODAY())&amp;"d"))))</f>
        <v/>
      </c>
      <c r="J199" s="32" t="n"/>
      <c r="K199" s="32" t="n"/>
    </row>
    <row r="200" ht="18" customHeight="1">
      <c r="A200" s="32" t="n"/>
      <c r="B200" s="32" t="n"/>
      <c r="C200" s="32" t="n"/>
      <c r="D200" s="32" t="n"/>
      <c r="E200" s="32" t="n"/>
      <c r="F200" s="32" t="n"/>
      <c r="G200" s="33" t="n"/>
      <c r="H200" s="35">
        <f>IF($G200="","",$G200+4)</f>
        <v/>
      </c>
      <c r="I200" s="36">
        <f>IF($G200="","",IF(OR($F200="Closed",$F200="Spoke"),"-",IF(TODAY()&gt;$H200,"Due, "&amp;(TODAY()-$H200)&amp;"d late",IF(TODAY()=$H200,"Due today","in "&amp;($H200-TODAY())&amp;"d"))))</f>
        <v/>
      </c>
      <c r="J200" s="32" t="n"/>
      <c r="K200" s="32" t="n"/>
    </row>
    <row r="201" ht="18" customHeight="1">
      <c r="A201" s="32" t="n"/>
      <c r="B201" s="32" t="n"/>
      <c r="C201" s="32" t="n"/>
      <c r="D201" s="32" t="n"/>
      <c r="E201" s="32" t="n"/>
      <c r="F201" s="32" t="n"/>
      <c r="G201" s="33" t="n"/>
      <c r="H201" s="35">
        <f>IF($G201="","",$G201+4)</f>
        <v/>
      </c>
      <c r="I201" s="36">
        <f>IF($G201="","",IF(OR($F201="Closed",$F201="Spoke"),"-",IF(TODAY()&gt;$H201,"Due, "&amp;(TODAY()-$H201)&amp;"d late",IF(TODAY()=$H201,"Due today","in "&amp;($H201-TODAY())&amp;"d"))))</f>
        <v/>
      </c>
      <c r="J201" s="32" t="n"/>
      <c r="K201" s="32" t="n"/>
    </row>
    <row r="202" ht="18" customHeight="1">
      <c r="A202" s="32" t="n"/>
      <c r="B202" s="32" t="n"/>
      <c r="C202" s="32" t="n"/>
      <c r="D202" s="32" t="n"/>
      <c r="E202" s="32" t="n"/>
      <c r="F202" s="32" t="n"/>
      <c r="G202" s="33" t="n"/>
      <c r="H202" s="35">
        <f>IF($G202="","",$G202+4)</f>
        <v/>
      </c>
      <c r="I202" s="36">
        <f>IF($G202="","",IF(OR($F202="Closed",$F202="Spoke"),"-",IF(TODAY()&gt;$H202,"Due, "&amp;(TODAY()-$H202)&amp;"d late",IF(TODAY()=$H202,"Due today","in "&amp;($H202-TODAY())&amp;"d"))))</f>
        <v/>
      </c>
      <c r="J202" s="32" t="n"/>
      <c r="K202" s="32" t="n"/>
    </row>
    <row r="203" ht="18" customHeight="1">
      <c r="A203" s="32" t="n"/>
      <c r="B203" s="32" t="n"/>
      <c r="C203" s="32" t="n"/>
      <c r="D203" s="32" t="n"/>
      <c r="E203" s="32" t="n"/>
      <c r="F203" s="32" t="n"/>
      <c r="G203" s="33" t="n"/>
      <c r="H203" s="35">
        <f>IF($G203="","",$G203+4)</f>
        <v/>
      </c>
      <c r="I203" s="36">
        <f>IF($G203="","",IF(OR($F203="Closed",$F203="Spoke"),"-",IF(TODAY()&gt;$H203,"Due, "&amp;(TODAY()-$H203)&amp;"d late",IF(TODAY()=$H203,"Due today","in "&amp;($H203-TODAY())&amp;"d"))))</f>
        <v/>
      </c>
      <c r="J203" s="32" t="n"/>
      <c r="K203" s="32" t="n"/>
    </row>
    <row r="204" ht="18" customHeight="1">
      <c r="A204" s="32" t="n"/>
      <c r="B204" s="32" t="n"/>
      <c r="C204" s="32" t="n"/>
      <c r="D204" s="32" t="n"/>
      <c r="E204" s="32" t="n"/>
      <c r="F204" s="32" t="n"/>
      <c r="G204" s="33" t="n"/>
      <c r="H204" s="35">
        <f>IF($G204="","",$G204+4)</f>
        <v/>
      </c>
      <c r="I204" s="36">
        <f>IF($G204="","",IF(OR($F204="Closed",$F204="Spoke"),"-",IF(TODAY()&gt;$H204,"Due, "&amp;(TODAY()-$H204)&amp;"d late",IF(TODAY()=$H204,"Due today","in "&amp;($H204-TODAY())&amp;"d"))))</f>
        <v/>
      </c>
      <c r="J204" s="32" t="n"/>
      <c r="K204" s="32" t="n"/>
    </row>
    <row r="205" ht="18" customHeight="1">
      <c r="A205" s="32" t="n"/>
      <c r="B205" s="32" t="n"/>
      <c r="C205" s="32" t="n"/>
      <c r="D205" s="32" t="n"/>
      <c r="E205" s="32" t="n"/>
      <c r="F205" s="32" t="n"/>
      <c r="G205" s="33" t="n"/>
      <c r="H205" s="35">
        <f>IF($G205="","",$G205+4)</f>
        <v/>
      </c>
      <c r="I205" s="36">
        <f>IF($G205="","",IF(OR($F205="Closed",$F205="Spoke"),"-",IF(TODAY()&gt;$H205,"Due, "&amp;(TODAY()-$H205)&amp;"d late",IF(TODAY()=$H205,"Due today","in "&amp;($H205-TODAY())&amp;"d"))))</f>
        <v/>
      </c>
      <c r="J205" s="32" t="n"/>
      <c r="K205" s="32" t="n"/>
    </row>
    <row r="206" ht="18" customHeight="1">
      <c r="A206" s="32" t="n"/>
      <c r="B206" s="32" t="n"/>
      <c r="C206" s="32" t="n"/>
      <c r="D206" s="32" t="n"/>
      <c r="E206" s="32" t="n"/>
      <c r="F206" s="32" t="n"/>
      <c r="G206" s="33" t="n"/>
      <c r="H206" s="35">
        <f>IF($G206="","",$G206+4)</f>
        <v/>
      </c>
      <c r="I206" s="36">
        <f>IF($G206="","",IF(OR($F206="Closed",$F206="Spoke"),"-",IF(TODAY()&gt;$H206,"Due, "&amp;(TODAY()-$H206)&amp;"d late",IF(TODAY()=$H206,"Due today","in "&amp;($H206-TODAY())&amp;"d"))))</f>
        <v/>
      </c>
      <c r="J206" s="32" t="n"/>
      <c r="K206" s="32" t="n"/>
    </row>
    <row r="207" ht="18" customHeight="1">
      <c r="A207" s="32" t="n"/>
      <c r="B207" s="32" t="n"/>
      <c r="C207" s="32" t="n"/>
      <c r="D207" s="32" t="n"/>
      <c r="E207" s="32" t="n"/>
      <c r="F207" s="32" t="n"/>
      <c r="G207" s="33" t="n"/>
      <c r="H207" s="35">
        <f>IF($G207="","",$G207+4)</f>
        <v/>
      </c>
      <c r="I207" s="36">
        <f>IF($G207="","",IF(OR($F207="Closed",$F207="Spoke"),"-",IF(TODAY()&gt;$H207,"Due, "&amp;(TODAY()-$H207)&amp;"d late",IF(TODAY()=$H207,"Due today","in "&amp;($H207-TODAY())&amp;"d"))))</f>
        <v/>
      </c>
      <c r="J207" s="32" t="n"/>
      <c r="K207" s="32" t="n"/>
    </row>
  </sheetData>
  <autoFilter ref="A7:K207"/>
  <mergeCells count="14">
    <mergeCell ref="A4:B4"/>
    <mergeCell ref="A2:F2"/>
    <mergeCell ref="F6:H6"/>
    <mergeCell ref="F5:H5"/>
    <mergeCell ref="C5:E5"/>
    <mergeCell ref="I5:K5"/>
    <mergeCell ref="G2:K2"/>
    <mergeCell ref="A5:B5"/>
    <mergeCell ref="C4:E4"/>
    <mergeCell ref="F4:H4"/>
    <mergeCell ref="I4:K4"/>
    <mergeCell ref="A6:B6"/>
    <mergeCell ref="C6:E6"/>
    <mergeCell ref="I6:K6"/>
  </mergeCells>
  <conditionalFormatting sqref="I8:I207">
    <cfRule type="expression" priority="1" dxfId="0">
      <formula>ISNUMBER(SEARCH("Due,",$I8))</formula>
    </cfRule>
    <cfRule type="expression" priority="2" dxfId="1">
      <formula>$I8="Due today"</formula>
    </cfRule>
  </conditionalFormatting>
  <conditionalFormatting sqref="A8:K207">
    <cfRule type="expression" priority="3" dxfId="5">
      <formula>$J8="Yes"</formula>
    </cfRule>
    <cfRule type="expression" priority="4" dxfId="3">
      <formula>$F8="Closed"</formula>
    </cfRule>
    <cfRule type="expression" priority="5" dxfId="4">
      <formula>AND($A8&lt;&gt;"",MOD(ROW(),2)=0)</formula>
    </cfRule>
  </conditionalFormatting>
  <dataValidations count="3">
    <dataValidation sqref="C8:C207" showDropDown="0" showInputMessage="0" showErrorMessage="0" allowBlank="1" type="list">
      <formula1>SeniorityList</formula1>
    </dataValidation>
    <dataValidation sqref="F8:F207" showDropDown="0" showInputMessage="0" showErrorMessage="0" allowBlank="1" type="list">
      <formula1>StageList</formula1>
    </dataValidation>
    <dataValidation sqref="J8:J207" showDropDown="0" showInputMessage="0" showErrorMessage="0" allowBlank="1" type="list">
      <formula1>YesNoList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1"/>
  <sheetViews>
    <sheetView showGridLines="0" workbookViewId="0">
      <selection activeCell="A1" sqref="A1"/>
    </sheetView>
  </sheetViews>
  <sheetFormatPr baseColWidth="8" defaultRowHeight="15"/>
  <cols>
    <col width="26" customWidth="1" min="1" max="1"/>
    <col width="22" customWidth="1" min="2" max="2"/>
    <col width="12" customWidth="1" min="3" max="3"/>
    <col width="14" customWidth="1" min="4" max="4"/>
    <col width="20" customWidth="1" min="5" max="5"/>
    <col width="3" customWidth="1" min="6" max="6"/>
    <col width="22" customWidth="1" min="7" max="7"/>
    <col width="22" customWidth="1" min="8" max="8"/>
    <col width="22" customWidth="1" min="9" max="9"/>
    <col width="22" customWidth="1" min="10" max="10"/>
  </cols>
  <sheetData>
    <row r="1" ht="24" customHeight="1">
      <c r="A1" s="37" t="inlineStr">
        <is>
          <t>Source options</t>
        </is>
      </c>
      <c r="B1" s="37" t="inlineStr">
        <is>
          <t>Status options</t>
        </is>
      </c>
      <c r="C1" s="37" t="inlineStr">
        <is>
          <t>Yes / No</t>
        </is>
      </c>
      <c r="D1" s="37" t="inlineStr">
        <is>
          <t>Seniority</t>
        </is>
      </c>
      <c r="E1" s="37" t="inlineStr">
        <is>
          <t>Networking stage</t>
        </is>
      </c>
    </row>
    <row r="2" ht="18" customHeight="1">
      <c r="A2" s="32" t="inlineStr">
        <is>
          <t>Seek</t>
        </is>
      </c>
      <c r="B2" s="32" t="inlineStr">
        <is>
          <t>Saved</t>
        </is>
      </c>
      <c r="C2" s="32" t="inlineStr">
        <is>
          <t>Yes</t>
        </is>
      </c>
      <c r="D2" s="32" t="inlineStr">
        <is>
          <t>Junior</t>
        </is>
      </c>
      <c r="E2" s="32" t="inlineStr">
        <is>
          <t>Found</t>
        </is>
      </c>
      <c r="G2" s="38" t="inlineStr">
        <is>
          <t>These lists fill the dropdowns on the other tabs.</t>
        </is>
      </c>
    </row>
    <row r="3" ht="60" customHeight="1">
      <c r="A3" s="32" t="inlineStr">
        <is>
          <t>LinkedIn Jobs</t>
        </is>
      </c>
      <c r="B3" s="32" t="inlineStr">
        <is>
          <t>Applied</t>
        </is>
      </c>
      <c r="C3" s="32" t="inlineStr">
        <is>
          <t>No</t>
        </is>
      </c>
      <c r="D3" s="32" t="inlineStr">
        <is>
          <t>Senior</t>
        </is>
      </c>
      <c r="E3" s="32" t="inlineStr">
        <is>
          <t>Request sent</t>
        </is>
      </c>
      <c r="G3" s="39" t="inlineStr">
        <is>
          <t>Add your own option to the bottom of a list and it will appear in the dropdown straight away. If you add a row past the end of a list, the dropdown will not pick it up until you widen the list, so it is easiest to overwrite an option you never use. Do not delete the columns or rename this tab: the dropdowns point here by name.</t>
        </is>
      </c>
    </row>
    <row r="4" ht="18" customHeight="1">
      <c r="A4" s="32" t="inlineStr">
        <is>
          <t>Indeed</t>
        </is>
      </c>
      <c r="B4" s="32" t="inlineStr">
        <is>
          <t>Recruiter screen</t>
        </is>
      </c>
      <c r="E4" s="32" t="inlineStr">
        <is>
          <t>Connected</t>
        </is>
      </c>
    </row>
    <row r="5" ht="18" customHeight="1">
      <c r="A5" s="32" t="inlineStr">
        <is>
          <t>Company careers page</t>
        </is>
      </c>
      <c r="B5" s="32" t="inlineStr">
        <is>
          <t>Interview 1</t>
        </is>
      </c>
      <c r="E5" s="32" t="inlineStr">
        <is>
          <t>Message 2 sent</t>
        </is>
      </c>
    </row>
    <row r="6" ht="18" customHeight="1">
      <c r="A6" s="32" t="inlineStr">
        <is>
          <t>Ethical Jobs</t>
        </is>
      </c>
      <c r="B6" s="32" t="inlineStr">
        <is>
          <t>Interview 2</t>
        </is>
      </c>
      <c r="E6" s="32" t="inlineStr">
        <is>
          <t>Message 3 sent</t>
        </is>
      </c>
    </row>
    <row r="7" ht="18" customHeight="1">
      <c r="A7" s="32" t="inlineStr">
        <is>
          <t>Hatch</t>
        </is>
      </c>
      <c r="B7" s="32" t="inlineStr">
        <is>
          <t>Final interview</t>
        </is>
      </c>
      <c r="E7" s="32" t="inlineStr">
        <is>
          <t>Call booked</t>
        </is>
      </c>
    </row>
    <row r="8" ht="18" customHeight="1">
      <c r="A8" s="32" t="inlineStr">
        <is>
          <t>APS Jobs</t>
        </is>
      </c>
      <c r="B8" s="32" t="inlineStr">
        <is>
          <t>Offer</t>
        </is>
      </c>
      <c r="E8" s="32" t="inlineStr">
        <is>
          <t>Spoke</t>
        </is>
      </c>
    </row>
    <row r="9" ht="18" customHeight="1">
      <c r="A9" s="32" t="inlineStr">
        <is>
          <t>Recruiter</t>
        </is>
      </c>
      <c r="B9" s="32" t="inlineStr">
        <is>
          <t>Rejected</t>
        </is>
      </c>
      <c r="E9" s="32" t="inlineStr">
        <is>
          <t>Closed</t>
        </is>
      </c>
    </row>
    <row r="10" ht="18" customHeight="1">
      <c r="A10" s="32" t="inlineStr">
        <is>
          <t>Referral or networking</t>
        </is>
      </c>
      <c r="B10" s="32" t="inlineStr">
        <is>
          <t>Withdrawn</t>
        </is>
      </c>
    </row>
    <row r="11" ht="18" customHeight="1">
      <c r="A11" s="32" t="inlineStr">
        <is>
          <t>Other</t>
        </is>
      </c>
    </row>
  </sheetData>
  <mergeCells count="1">
    <mergeCell ref="G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2026-08-11T08:33:24Z</dcterms:created>
  <dcterms:modified xmlns:dcterms="http://purl.org/dc/terms/" xmlns:xsi="http://www.w3.org/2001/XMLSchema-instance" xsi:type="dcterms:W3CDTF">2026-08-11T08:33:25Z</dcterms:modified>
</cp:coreProperties>
</file>